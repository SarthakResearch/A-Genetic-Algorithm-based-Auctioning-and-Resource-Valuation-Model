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PhD\Contributions\4. Contribution 3 (GARV)\Revision (Continued)\H\Revision 2\Results\"/>
    </mc:Choice>
  </mc:AlternateContent>
  <xr:revisionPtr revIDLastSave="0" documentId="13_ncr:1_{9C12AC3C-0746-40F1-B1F4-0C7333429F1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Results" sheetId="5" r:id="rId1"/>
    <sheet name="Transpose" sheetId="16" r:id="rId2"/>
    <sheet name="DOE-ANOVA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5" l="1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C8" i="5"/>
  <c r="D8" i="5"/>
  <c r="E8" i="5"/>
  <c r="B8" i="5"/>
  <c r="L31" i="13"/>
  <c r="L30" i="13"/>
</calcChain>
</file>

<file path=xl/sharedStrings.xml><?xml version="1.0" encoding="utf-8"?>
<sst xmlns="http://schemas.openxmlformats.org/spreadsheetml/2006/main" count="147" uniqueCount="68">
  <si>
    <t>Preference Satisfaction Rate (PSR)</t>
  </si>
  <si>
    <t>Incentivization Rate (IR)</t>
  </si>
  <si>
    <t>Average Incentive per VM (AIV)</t>
  </si>
  <si>
    <t>Average Compensation per Client (ACC)</t>
  </si>
  <si>
    <t>Makespan</t>
  </si>
  <si>
    <t>GARV</t>
  </si>
  <si>
    <t>Combined Success Rate (CSR)</t>
  </si>
  <si>
    <t>Overbudget Payment Rate (OPR)</t>
  </si>
  <si>
    <t>Average Overbudget Payment (AOP)</t>
  </si>
  <si>
    <t>Auction 1</t>
  </si>
  <si>
    <t>Auction 2</t>
  </si>
  <si>
    <t>Auction 3</t>
  </si>
  <si>
    <t>Auction 4</t>
  </si>
  <si>
    <t>Auction 5</t>
  </si>
  <si>
    <t>Algo1</t>
  </si>
  <si>
    <t>Algo2</t>
  </si>
  <si>
    <t>Algo3</t>
  </si>
  <si>
    <t>Compensated Voilation Rate (CVR)</t>
  </si>
  <si>
    <t>Geometric Overbudget Index</t>
  </si>
  <si>
    <t>Population</t>
  </si>
  <si>
    <t>CSR</t>
  </si>
  <si>
    <t>Generations</t>
  </si>
  <si>
    <t>SW</t>
  </si>
  <si>
    <t>Social Welfare</t>
  </si>
  <si>
    <t>PSR</t>
  </si>
  <si>
    <t>IR</t>
  </si>
  <si>
    <t>AIV</t>
  </si>
  <si>
    <t>IEI</t>
  </si>
  <si>
    <t>CVR</t>
  </si>
  <si>
    <t>ACC</t>
  </si>
  <si>
    <t>OPR</t>
  </si>
  <si>
    <t>AOP</t>
  </si>
  <si>
    <t>Pop\Gen</t>
  </si>
  <si>
    <t>Anova: Two-Factor Without Replication</t>
  </si>
  <si>
    <t>SUMMARY</t>
  </si>
  <si>
    <t>Count</t>
  </si>
  <si>
    <t>Sum</t>
  </si>
  <si>
    <t>Average</t>
  </si>
  <si>
    <t>Variance</t>
  </si>
  <si>
    <t>Row 1</t>
  </si>
  <si>
    <t>Row 2</t>
  </si>
  <si>
    <t>Row 3</t>
  </si>
  <si>
    <t>Row 4</t>
  </si>
  <si>
    <t>Row 5</t>
  </si>
  <si>
    <t>Column 1</t>
  </si>
  <si>
    <t>Column 2</t>
  </si>
  <si>
    <t>Column 3</t>
  </si>
  <si>
    <t>Column 4</t>
  </si>
  <si>
    <t>Column 5</t>
  </si>
  <si>
    <t>Source of Variation</t>
  </si>
  <si>
    <t>SS</t>
  </si>
  <si>
    <t>df</t>
  </si>
  <si>
    <t>MS</t>
  </si>
  <si>
    <t>F</t>
  </si>
  <si>
    <t>P-value</t>
  </si>
  <si>
    <t>F crit</t>
  </si>
  <si>
    <t>Error</t>
  </si>
  <si>
    <t>Total</t>
  </si>
  <si>
    <t>Generation</t>
  </si>
  <si>
    <t>ANOVA-CSR</t>
  </si>
  <si>
    <t>ANOVA-SW</t>
  </si>
  <si>
    <t>Geometric Voilation Index (GVI)</t>
  </si>
  <si>
    <t>Incentivization Efficiency Index (IEI)</t>
  </si>
  <si>
    <t>50 Tasks</t>
  </si>
  <si>
    <t>100 Tasks</t>
  </si>
  <si>
    <t>150 tasks</t>
  </si>
  <si>
    <t>200 Tasks</t>
  </si>
  <si>
    <t>250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</si>
</sst>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0" borderId="0" xfId="0" applyAlignment="1">
      <alignment horizontal="center"/>
    </xf>
    <xf numFmtId="0" fontId="0" fillId="7" borderId="1" xfId="0" applyFill="1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0" borderId="1" xfId="0" applyFont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11" fontId="0" fillId="0" borderId="0" xfId="0" applyNumberFormat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Combined Success Rate (CSR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Results!$A$4</c:f>
              <c:strCache>
                <c:ptCount val="1"/>
                <c:pt idx="0">
                  <c:v>Combined Success Rate (CSR)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Results!$B$4:$Y$4</c:f>
              <c:numCache>
                <c:formatCode>General</c:formatCode>
                <c:ptCount val="24"/>
                <c:pt idx="0">
                  <c:v>67.599999999999994</c:v>
                </c:pt>
                <c:pt idx="1">
                  <c:v>38</c:v>
                </c:pt>
                <c:pt idx="2">
                  <c:v>28</c:v>
                </c:pt>
                <c:pt idx="3">
                  <c:v>50</c:v>
                </c:pt>
                <c:pt idx="5">
                  <c:v>59.4</c:v>
                </c:pt>
                <c:pt idx="6">
                  <c:v>39</c:v>
                </c:pt>
                <c:pt idx="7">
                  <c:v>38</c:v>
                </c:pt>
                <c:pt idx="8">
                  <c:v>34</c:v>
                </c:pt>
                <c:pt idx="10">
                  <c:v>55</c:v>
                </c:pt>
                <c:pt idx="11">
                  <c:v>39</c:v>
                </c:pt>
                <c:pt idx="12">
                  <c:v>28</c:v>
                </c:pt>
                <c:pt idx="13">
                  <c:v>35</c:v>
                </c:pt>
                <c:pt idx="15">
                  <c:v>62</c:v>
                </c:pt>
                <c:pt idx="16">
                  <c:v>56</c:v>
                </c:pt>
                <c:pt idx="17">
                  <c:v>28</c:v>
                </c:pt>
                <c:pt idx="18">
                  <c:v>39</c:v>
                </c:pt>
                <c:pt idx="20">
                  <c:v>59.1</c:v>
                </c:pt>
                <c:pt idx="21">
                  <c:v>53</c:v>
                </c:pt>
                <c:pt idx="22">
                  <c:v>19</c:v>
                </c:pt>
                <c:pt idx="2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8-4B01-B8F1-3B15D5389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511043184"/>
        <c:axId val="1511037424"/>
      </c:barChart>
      <c:catAx>
        <c:axId val="151104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37424"/>
        <c:crosses val="autoZero"/>
        <c:auto val="1"/>
        <c:lblAlgn val="ctr"/>
        <c:lblOffset val="100"/>
        <c:noMultiLvlLbl val="0"/>
      </c:catAx>
      <c:valAx>
        <c:axId val="15110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4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Preference Satisfaction Rate (PSR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Results!$A$5</c:f>
              <c:strCache>
                <c:ptCount val="1"/>
                <c:pt idx="0">
                  <c:v>Preference Satisfaction Rate (PSR)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Results!$B$5:$Y$5</c:f>
              <c:numCache>
                <c:formatCode>General</c:formatCode>
                <c:ptCount val="24"/>
                <c:pt idx="0">
                  <c:v>74.8</c:v>
                </c:pt>
                <c:pt idx="1">
                  <c:v>54</c:v>
                </c:pt>
                <c:pt idx="2">
                  <c:v>54</c:v>
                </c:pt>
                <c:pt idx="3">
                  <c:v>52</c:v>
                </c:pt>
                <c:pt idx="5">
                  <c:v>86.6</c:v>
                </c:pt>
                <c:pt idx="6">
                  <c:v>65</c:v>
                </c:pt>
                <c:pt idx="7">
                  <c:v>60</c:v>
                </c:pt>
                <c:pt idx="8">
                  <c:v>53</c:v>
                </c:pt>
                <c:pt idx="10">
                  <c:v>86.9</c:v>
                </c:pt>
                <c:pt idx="11">
                  <c:v>67</c:v>
                </c:pt>
                <c:pt idx="12">
                  <c:v>63</c:v>
                </c:pt>
                <c:pt idx="13">
                  <c:v>54</c:v>
                </c:pt>
                <c:pt idx="15">
                  <c:v>81.900000000000006</c:v>
                </c:pt>
                <c:pt idx="16">
                  <c:v>67</c:v>
                </c:pt>
                <c:pt idx="17">
                  <c:v>49</c:v>
                </c:pt>
                <c:pt idx="18">
                  <c:v>52</c:v>
                </c:pt>
                <c:pt idx="20">
                  <c:v>89</c:v>
                </c:pt>
                <c:pt idx="21">
                  <c:v>72</c:v>
                </c:pt>
                <c:pt idx="22">
                  <c:v>43</c:v>
                </c:pt>
                <c:pt idx="2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E-49BF-B2FC-A11F014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511058064"/>
        <c:axId val="1511059024"/>
      </c:barChart>
      <c:catAx>
        <c:axId val="151105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59024"/>
        <c:crosses val="autoZero"/>
        <c:auto val="1"/>
        <c:lblAlgn val="ctr"/>
        <c:lblOffset val="100"/>
        <c:noMultiLvlLbl val="0"/>
      </c:catAx>
      <c:valAx>
        <c:axId val="1511059024"/>
        <c:scaling>
          <c:orientation val="minMax"/>
          <c:max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5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Incentivization Rate (IR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Results!$A$6</c:f>
              <c:strCache>
                <c:ptCount val="1"/>
                <c:pt idx="0">
                  <c:v>Incentivization Rate (IR)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Results!$B$6:$Y$6</c:f>
              <c:numCache>
                <c:formatCode>General</c:formatCode>
                <c:ptCount val="24"/>
                <c:pt idx="0">
                  <c:v>71.400000000000006</c:v>
                </c:pt>
                <c:pt idx="1">
                  <c:v>78</c:v>
                </c:pt>
                <c:pt idx="2">
                  <c:v>26</c:v>
                </c:pt>
                <c:pt idx="3">
                  <c:v>68</c:v>
                </c:pt>
                <c:pt idx="5">
                  <c:v>75.099999999999994</c:v>
                </c:pt>
                <c:pt idx="6">
                  <c:v>65</c:v>
                </c:pt>
                <c:pt idx="7">
                  <c:v>60</c:v>
                </c:pt>
                <c:pt idx="8">
                  <c:v>57</c:v>
                </c:pt>
                <c:pt idx="10">
                  <c:v>77.900000000000006</c:v>
                </c:pt>
                <c:pt idx="11">
                  <c:v>72</c:v>
                </c:pt>
                <c:pt idx="12">
                  <c:v>46</c:v>
                </c:pt>
                <c:pt idx="13">
                  <c:v>49</c:v>
                </c:pt>
                <c:pt idx="15">
                  <c:v>74</c:v>
                </c:pt>
                <c:pt idx="16">
                  <c:v>75</c:v>
                </c:pt>
                <c:pt idx="17">
                  <c:v>40</c:v>
                </c:pt>
                <c:pt idx="18">
                  <c:v>43</c:v>
                </c:pt>
                <c:pt idx="20">
                  <c:v>78.5</c:v>
                </c:pt>
                <c:pt idx="21">
                  <c:v>78</c:v>
                </c:pt>
                <c:pt idx="22">
                  <c:v>36</c:v>
                </c:pt>
                <c:pt idx="2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F-44F9-B881-29B7DDACD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332736064"/>
        <c:axId val="1332731264"/>
      </c:barChart>
      <c:catAx>
        <c:axId val="13327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31264"/>
        <c:crosses val="autoZero"/>
        <c:auto val="1"/>
        <c:lblAlgn val="ctr"/>
        <c:lblOffset val="100"/>
        <c:noMultiLvlLbl val="0"/>
      </c:catAx>
      <c:valAx>
        <c:axId val="1332731264"/>
        <c:scaling>
          <c:orientation val="minMax"/>
          <c:max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3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Incentive per VM (AIV in cost unit)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Results!$A$7</c:f>
              <c:strCache>
                <c:ptCount val="1"/>
                <c:pt idx="0">
                  <c:v>Average Incentive per VM (AIV)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Results!$B$7:$Y$7</c:f>
              <c:numCache>
                <c:formatCode>General</c:formatCode>
                <c:ptCount val="24"/>
                <c:pt idx="0">
                  <c:v>9.4</c:v>
                </c:pt>
                <c:pt idx="1">
                  <c:v>8.9</c:v>
                </c:pt>
                <c:pt idx="2">
                  <c:v>5.6</c:v>
                </c:pt>
                <c:pt idx="3">
                  <c:v>8.8000000000000007</c:v>
                </c:pt>
                <c:pt idx="5">
                  <c:v>15.9</c:v>
                </c:pt>
                <c:pt idx="6">
                  <c:v>11.3</c:v>
                </c:pt>
                <c:pt idx="7">
                  <c:v>12.9</c:v>
                </c:pt>
                <c:pt idx="8">
                  <c:v>13.6</c:v>
                </c:pt>
                <c:pt idx="10">
                  <c:v>15.6</c:v>
                </c:pt>
                <c:pt idx="11">
                  <c:v>14.6</c:v>
                </c:pt>
                <c:pt idx="12">
                  <c:v>7.4</c:v>
                </c:pt>
                <c:pt idx="13">
                  <c:v>10.9</c:v>
                </c:pt>
                <c:pt idx="15">
                  <c:v>17.100000000000001</c:v>
                </c:pt>
                <c:pt idx="16">
                  <c:v>20.6</c:v>
                </c:pt>
                <c:pt idx="17">
                  <c:v>5</c:v>
                </c:pt>
                <c:pt idx="18">
                  <c:v>8.3000000000000007</c:v>
                </c:pt>
                <c:pt idx="20">
                  <c:v>16.7</c:v>
                </c:pt>
                <c:pt idx="21">
                  <c:v>25</c:v>
                </c:pt>
                <c:pt idx="22">
                  <c:v>4.3</c:v>
                </c:pt>
                <c:pt idx="23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C-4EA6-9283-999C5F7E9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556448912"/>
        <c:axId val="1556458512"/>
      </c:barChart>
      <c:catAx>
        <c:axId val="155644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58512"/>
        <c:crosses val="autoZero"/>
        <c:auto val="1"/>
        <c:lblAlgn val="ctr"/>
        <c:lblOffset val="100"/>
        <c:noMultiLvlLbl val="0"/>
      </c:catAx>
      <c:valAx>
        <c:axId val="15564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4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Compensated</a:t>
            </a:r>
            <a:r>
              <a:rPr lang="en-US" baseline="0"/>
              <a:t> Voilation</a:t>
            </a:r>
            <a:r>
              <a:rPr lang="en-US"/>
              <a:t> Rate (CVR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Results!$A$9</c:f>
              <c:strCache>
                <c:ptCount val="1"/>
                <c:pt idx="0">
                  <c:v>Compensated Voilation Rate (CVR)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Results!$B$9:$Y$9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74</c:v>
                </c:pt>
                <c:pt idx="2">
                  <c:v>40</c:v>
                </c:pt>
                <c:pt idx="3">
                  <c:v>82</c:v>
                </c:pt>
                <c:pt idx="5">
                  <c:v>15.7</c:v>
                </c:pt>
                <c:pt idx="6">
                  <c:v>65</c:v>
                </c:pt>
                <c:pt idx="7">
                  <c:v>61</c:v>
                </c:pt>
                <c:pt idx="8">
                  <c:v>54</c:v>
                </c:pt>
                <c:pt idx="10">
                  <c:v>22.9</c:v>
                </c:pt>
                <c:pt idx="11">
                  <c:v>72</c:v>
                </c:pt>
                <c:pt idx="12">
                  <c:v>54</c:v>
                </c:pt>
                <c:pt idx="13">
                  <c:v>43</c:v>
                </c:pt>
                <c:pt idx="15">
                  <c:v>12.9</c:v>
                </c:pt>
                <c:pt idx="16">
                  <c:v>79</c:v>
                </c:pt>
                <c:pt idx="17">
                  <c:v>51</c:v>
                </c:pt>
                <c:pt idx="18">
                  <c:v>51</c:v>
                </c:pt>
                <c:pt idx="20">
                  <c:v>19</c:v>
                </c:pt>
                <c:pt idx="21">
                  <c:v>78</c:v>
                </c:pt>
                <c:pt idx="22">
                  <c:v>50</c:v>
                </c:pt>
                <c:pt idx="2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1-4A45-A2F9-CABE38EE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556477712"/>
        <c:axId val="1556478672"/>
      </c:barChart>
      <c:catAx>
        <c:axId val="15564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78672"/>
        <c:crosses val="autoZero"/>
        <c:auto val="1"/>
        <c:lblAlgn val="ctr"/>
        <c:lblOffset val="100"/>
        <c:noMultiLvlLbl val="0"/>
      </c:catAx>
      <c:valAx>
        <c:axId val="15564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7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50"/>
              <a:t>Average Compensation per Client (ACC in cost unit)</a:t>
            </a:r>
          </a:p>
        </c:rich>
      </c:tx>
      <c:layout>
        <c:manualLayout>
          <c:xMode val="edge"/>
          <c:yMode val="edge"/>
          <c:x val="0.11224245047088333"/>
          <c:y val="2.9178901127178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Results!$A$10</c:f>
              <c:strCache>
                <c:ptCount val="1"/>
                <c:pt idx="0">
                  <c:v>Average Compensation per Client (ACC)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Results!$B$10:$Y$10</c:f>
              <c:numCache>
                <c:formatCode>General</c:formatCode>
                <c:ptCount val="24"/>
                <c:pt idx="0">
                  <c:v>0.21000000000000002</c:v>
                </c:pt>
                <c:pt idx="1">
                  <c:v>26.7</c:v>
                </c:pt>
                <c:pt idx="2">
                  <c:v>6.8</c:v>
                </c:pt>
                <c:pt idx="3">
                  <c:v>27.9</c:v>
                </c:pt>
                <c:pt idx="5">
                  <c:v>2</c:v>
                </c:pt>
                <c:pt idx="6">
                  <c:v>17.5</c:v>
                </c:pt>
                <c:pt idx="7">
                  <c:v>14</c:v>
                </c:pt>
                <c:pt idx="8">
                  <c:v>14.6</c:v>
                </c:pt>
                <c:pt idx="10">
                  <c:v>2.95</c:v>
                </c:pt>
                <c:pt idx="11">
                  <c:v>20.9</c:v>
                </c:pt>
                <c:pt idx="12">
                  <c:v>11.1</c:v>
                </c:pt>
                <c:pt idx="13">
                  <c:v>10.7</c:v>
                </c:pt>
                <c:pt idx="15">
                  <c:v>1.3599999999999999</c:v>
                </c:pt>
                <c:pt idx="16">
                  <c:v>18.2</c:v>
                </c:pt>
                <c:pt idx="17">
                  <c:v>8</c:v>
                </c:pt>
                <c:pt idx="18">
                  <c:v>8.3000000000000007</c:v>
                </c:pt>
                <c:pt idx="20">
                  <c:v>1.83</c:v>
                </c:pt>
                <c:pt idx="21">
                  <c:v>15.1</c:v>
                </c:pt>
                <c:pt idx="22">
                  <c:v>9.1</c:v>
                </c:pt>
                <c:pt idx="2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1-40C4-BF93-E05498B6E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511036944"/>
        <c:axId val="1511029744"/>
      </c:barChart>
      <c:catAx>
        <c:axId val="151103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29744"/>
        <c:crosses val="autoZero"/>
        <c:auto val="1"/>
        <c:lblAlgn val="ctr"/>
        <c:lblOffset val="100"/>
        <c:noMultiLvlLbl val="0"/>
      </c:catAx>
      <c:valAx>
        <c:axId val="15110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3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Makespan in Sec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Results!$A$15</c:f>
              <c:strCache>
                <c:ptCount val="1"/>
                <c:pt idx="0">
                  <c:v>Makespan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Results!$B$15:$Y$15</c:f>
              <c:numCache>
                <c:formatCode>General</c:formatCode>
                <c:ptCount val="24"/>
                <c:pt idx="0">
                  <c:v>308</c:v>
                </c:pt>
                <c:pt idx="1">
                  <c:v>401.2</c:v>
                </c:pt>
                <c:pt idx="2">
                  <c:v>376.9</c:v>
                </c:pt>
                <c:pt idx="3">
                  <c:v>270.5</c:v>
                </c:pt>
                <c:pt idx="5">
                  <c:v>224.3</c:v>
                </c:pt>
                <c:pt idx="6">
                  <c:v>415.9</c:v>
                </c:pt>
                <c:pt idx="7">
                  <c:v>454.9</c:v>
                </c:pt>
                <c:pt idx="8">
                  <c:v>379.7</c:v>
                </c:pt>
                <c:pt idx="10">
                  <c:v>224.8</c:v>
                </c:pt>
                <c:pt idx="11">
                  <c:v>345.3</c:v>
                </c:pt>
                <c:pt idx="12">
                  <c:v>466.2</c:v>
                </c:pt>
                <c:pt idx="13">
                  <c:v>316.8</c:v>
                </c:pt>
                <c:pt idx="15">
                  <c:v>259.5</c:v>
                </c:pt>
                <c:pt idx="16">
                  <c:v>431.4</c:v>
                </c:pt>
                <c:pt idx="17">
                  <c:v>419.1</c:v>
                </c:pt>
                <c:pt idx="18">
                  <c:v>430.4</c:v>
                </c:pt>
                <c:pt idx="20">
                  <c:v>208.7</c:v>
                </c:pt>
                <c:pt idx="21">
                  <c:v>355.6</c:v>
                </c:pt>
                <c:pt idx="22">
                  <c:v>385.8</c:v>
                </c:pt>
                <c:pt idx="23">
                  <c:v>429.7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6-4920-8644-8A8199CF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556469072"/>
        <c:axId val="1556471472"/>
      </c:barChart>
      <c:catAx>
        <c:axId val="155646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71472"/>
        <c:crosses val="autoZero"/>
        <c:auto val="1"/>
        <c:lblAlgn val="ctr"/>
        <c:lblOffset val="100"/>
        <c:noMultiLvlLbl val="0"/>
      </c:catAx>
      <c:valAx>
        <c:axId val="15564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6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Results!$A$8</c:f>
              <c:strCache>
                <c:ptCount val="1"/>
                <c:pt idx="0">
                  <c:v>Incentivization Efficiency Index (IEI)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Results!$B$8:$Y$8</c:f>
              <c:numCache>
                <c:formatCode>General</c:formatCode>
                <c:ptCount val="24"/>
                <c:pt idx="0">
                  <c:v>25.906755875639853</c:v>
                </c:pt>
                <c:pt idx="1">
                  <c:v>26.347675419285096</c:v>
                </c:pt>
                <c:pt idx="2">
                  <c:v>12.066482503198685</c:v>
                </c:pt>
                <c:pt idx="3">
                  <c:v>24.462215762273051</c:v>
                </c:pt>
                <c:pt idx="4">
                  <c:v>0</c:v>
                </c:pt>
                <c:pt idx="5">
                  <c:v>34.555607359732512</c:v>
                </c:pt>
                <c:pt idx="6">
                  <c:v>27.101660465735304</c:v>
                </c:pt>
                <c:pt idx="7">
                  <c:v>27.820855486487112</c:v>
                </c:pt>
                <c:pt idx="8">
                  <c:v>27.842413688471765</c:v>
                </c:pt>
                <c:pt idx="9">
                  <c:v>0</c:v>
                </c:pt>
                <c:pt idx="10">
                  <c:v>34.860292597739338</c:v>
                </c:pt>
                <c:pt idx="11">
                  <c:v>32.42221460665511</c:v>
                </c:pt>
                <c:pt idx="12">
                  <c:v>18.449932249198099</c:v>
                </c:pt>
                <c:pt idx="13">
                  <c:v>23.110603626906851</c:v>
                </c:pt>
                <c:pt idx="14">
                  <c:v>0</c:v>
                </c:pt>
                <c:pt idx="15">
                  <c:v>35.572461258675929</c:v>
                </c:pt>
                <c:pt idx="16">
                  <c:v>39.306488014067092</c:v>
                </c:pt>
                <c:pt idx="17">
                  <c:v>14.142135623730951</c:v>
                </c:pt>
                <c:pt idx="18">
                  <c:v>18.891797161731333</c:v>
                </c:pt>
                <c:pt idx="19">
                  <c:v>0</c:v>
                </c:pt>
                <c:pt idx="20">
                  <c:v>36.207043513659052</c:v>
                </c:pt>
                <c:pt idx="21">
                  <c:v>44.158804331639232</c:v>
                </c:pt>
                <c:pt idx="22">
                  <c:v>12.441864811996632</c:v>
                </c:pt>
                <c:pt idx="23">
                  <c:v>16.697305171793442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D-4D29-A188-44E8CAD6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992066512"/>
        <c:axId val="1992051152"/>
      </c:barChart>
      <c:catAx>
        <c:axId val="199206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051152"/>
        <c:crosses val="autoZero"/>
        <c:auto val="1"/>
        <c:lblAlgn val="ctr"/>
        <c:lblOffset val="100"/>
        <c:noMultiLvlLbl val="0"/>
      </c:catAx>
      <c:valAx>
        <c:axId val="199205115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06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Results!$A$16</c:f>
              <c:strCache>
                <c:ptCount val="1"/>
                <c:pt idx="0">
                  <c:v>Social Welfare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Results!$B$1:$Y$3</c:f>
              <c:multiLvlStrCache>
                <c:ptCount val="24"/>
                <c:lvl>
                  <c:pt idx="0">
                    <c:v>GARV</c:v>
                  </c:pt>
                  <c:pt idx="1">
                    <c:v>Algo1</c:v>
                  </c:pt>
                  <c:pt idx="2">
                    <c:v>Algo2</c:v>
                  </c:pt>
                  <c:pt idx="3">
                    <c:v>Algo3</c:v>
                  </c:pt>
                  <c:pt idx="5">
                    <c:v>GARV</c:v>
                  </c:pt>
                  <c:pt idx="6">
                    <c:v>Algo1</c:v>
                  </c:pt>
                  <c:pt idx="7">
                    <c:v>Algo2</c:v>
                  </c:pt>
                  <c:pt idx="8">
                    <c:v>Algo3</c:v>
                  </c:pt>
                  <c:pt idx="10">
                    <c:v>GARV</c:v>
                  </c:pt>
                  <c:pt idx="11">
                    <c:v>Algo1</c:v>
                  </c:pt>
                  <c:pt idx="12">
                    <c:v>Algo2</c:v>
                  </c:pt>
                  <c:pt idx="13">
                    <c:v>Algo3</c:v>
                  </c:pt>
                  <c:pt idx="15">
                    <c:v>GARV</c:v>
                  </c:pt>
                  <c:pt idx="16">
                    <c:v>Algo1</c:v>
                  </c:pt>
                  <c:pt idx="17">
                    <c:v>Algo2</c:v>
                  </c:pt>
                  <c:pt idx="18">
                    <c:v>Algo3</c:v>
                  </c:pt>
                  <c:pt idx="20">
                    <c:v>GARV</c:v>
                  </c:pt>
                  <c:pt idx="21">
                    <c:v>Algo1</c:v>
                  </c:pt>
                  <c:pt idx="22">
                    <c:v>Algo2</c:v>
                  </c:pt>
                  <c:pt idx="23">
                    <c:v>Algo3</c:v>
                  </c:pt>
                </c:lvl>
                <c:lvl>
                  <c:pt idx="0">
                    <c:v>Auction 1</c:v>
                  </c:pt>
                  <c:pt idx="5">
                    <c:v>Auction 2</c:v>
                  </c:pt>
                  <c:pt idx="10">
                    <c:v>Auction 3</c:v>
                  </c:pt>
                  <c:pt idx="15">
                    <c:v>Auction 4</c:v>
                  </c:pt>
                  <c:pt idx="20">
                    <c:v>Auction 5</c:v>
                  </c:pt>
                </c:lvl>
                <c:lvl>
                  <c:pt idx="0">
                    <c:v>50 Tasks</c:v>
                  </c:pt>
                  <c:pt idx="5">
                    <c:v>100 Tasks</c:v>
                  </c:pt>
                  <c:pt idx="10">
                    <c:v>150 tasks</c:v>
                  </c:pt>
                  <c:pt idx="15">
                    <c:v>200 Tasks</c:v>
                  </c:pt>
                  <c:pt idx="20">
                    <c:v>250 Tasks</c:v>
                  </c:pt>
                </c:lvl>
              </c:multiLvlStrCache>
            </c:multiLvlStrRef>
          </c:cat>
          <c:val>
            <c:numRef>
              <c:f>Results!$B$16:$Y$16</c:f>
              <c:numCache>
                <c:formatCode>General</c:formatCode>
                <c:ptCount val="24"/>
                <c:pt idx="0">
                  <c:v>420.8</c:v>
                </c:pt>
                <c:pt idx="1">
                  <c:v>203.8</c:v>
                </c:pt>
                <c:pt idx="2">
                  <c:v>196</c:v>
                </c:pt>
                <c:pt idx="3">
                  <c:v>794.4</c:v>
                </c:pt>
                <c:pt idx="5">
                  <c:v>916.5</c:v>
                </c:pt>
                <c:pt idx="6">
                  <c:v>727.3</c:v>
                </c:pt>
                <c:pt idx="7">
                  <c:v>1093</c:v>
                </c:pt>
                <c:pt idx="8">
                  <c:v>932.2</c:v>
                </c:pt>
                <c:pt idx="10">
                  <c:v>824.8</c:v>
                </c:pt>
                <c:pt idx="11">
                  <c:v>854.3</c:v>
                </c:pt>
                <c:pt idx="12">
                  <c:v>449.1</c:v>
                </c:pt>
                <c:pt idx="13">
                  <c:v>511.3</c:v>
                </c:pt>
                <c:pt idx="15">
                  <c:v>754.1</c:v>
                </c:pt>
                <c:pt idx="16">
                  <c:v>1368.4</c:v>
                </c:pt>
                <c:pt idx="17">
                  <c:v>312.10000000000002</c:v>
                </c:pt>
                <c:pt idx="18">
                  <c:v>9.6</c:v>
                </c:pt>
                <c:pt idx="20">
                  <c:v>1026.0999999999999</c:v>
                </c:pt>
                <c:pt idx="21">
                  <c:v>1802.2</c:v>
                </c:pt>
                <c:pt idx="22">
                  <c:v>130.5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0F1-B08A-641BCA4F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2105499759"/>
        <c:axId val="2105493519"/>
      </c:barChart>
      <c:catAx>
        <c:axId val="210549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93519"/>
        <c:crosses val="autoZero"/>
        <c:auto val="1"/>
        <c:lblAlgn val="ctr"/>
        <c:lblOffset val="100"/>
        <c:noMultiLvlLbl val="0"/>
      </c:catAx>
      <c:valAx>
        <c:axId val="21054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9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18</xdr:row>
      <xdr:rowOff>180975</xdr:rowOff>
    </xdr:from>
    <xdr:to>
      <xdr:col>5</xdr:col>
      <xdr:colOff>600075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B82A25-03A6-0190-85CA-9BD8E65C6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2457452</xdr:colOff>
      <xdr:row>32</xdr:row>
      <xdr:rowOff>190499</xdr:rowOff>
    </xdr:from>
    <xdr:to>
      <xdr:col>6</xdr:col>
      <xdr:colOff>1</xdr:colOff>
      <xdr:row>46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1819BE-D6E1-0C3B-CE48-121802FDE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16</xdr:col>
      <xdr:colOff>9525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3183F5-F734-CED4-6098-AC18A1F39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</xdr:colOff>
      <xdr:row>33</xdr:row>
      <xdr:rowOff>4768</xdr:rowOff>
    </xdr:from>
    <xdr:to>
      <xdr:col>16</xdr:col>
      <xdr:colOff>1</xdr:colOff>
      <xdr:row>47</xdr:row>
      <xdr:rowOff>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9A1A84-B249-A1A5-A644-776B5DED3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9525</xdr:colOff>
      <xdr:row>19</xdr:row>
      <xdr:rowOff>0</xdr:rowOff>
    </xdr:from>
    <xdr:to>
      <xdr:col>21</xdr:col>
      <xdr:colOff>0</xdr:colOff>
      <xdr:row>32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8567D6-44AD-A919-F400-8C9E54A39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32</xdr:row>
      <xdr:rowOff>179923</xdr:rowOff>
    </xdr:from>
    <xdr:to>
      <xdr:col>21</xdr:col>
      <xdr:colOff>9525</xdr:colOff>
      <xdr:row>46</xdr:row>
      <xdr:rowOff>189448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92161B-18D2-1F0B-0608-C9532CAB0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9524</xdr:colOff>
      <xdr:row>19</xdr:row>
      <xdr:rowOff>477</xdr:rowOff>
    </xdr:from>
    <xdr:to>
      <xdr:col>11</xdr:col>
      <xdr:colOff>9525</xdr:colOff>
      <xdr:row>32</xdr:row>
      <xdr:rowOff>176691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CDE306-6CCE-A814-E584-22F805351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2324</xdr:colOff>
      <xdr:row>46</xdr:row>
      <xdr:rowOff>184799</xdr:rowOff>
    </xdr:from>
    <xdr:to>
      <xdr:col>16</xdr:col>
      <xdr:colOff>11616</xdr:colOff>
      <xdr:row>60</xdr:row>
      <xdr:rowOff>179921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189E45-5122-D00C-AC6A-68A23DB07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600539</xdr:colOff>
      <xdr:row>33</xdr:row>
      <xdr:rowOff>4879</xdr:rowOff>
    </xdr:from>
    <xdr:to>
      <xdr:col>11</xdr:col>
      <xdr:colOff>11616</xdr:colOff>
      <xdr:row>47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A59E643-CE90-A08E-5F8E-81C18275B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7AC3-FDEA-4C3F-9DB9-2E0E0B34C5B5}">
  <dimension ref="A1:Z17"/>
  <sheetViews>
    <sheetView tabSelected="1" zoomScale="90" zoomScaleNormal="90" workbookViewId="0">
      <selection activeCell="S54" sqref="S54"/>
    </sheetView>
  </sheetViews>
  <sheetFormatPr defaultRowHeight="15" x14ac:dyDescent="0.25"/>
  <cols>
    <col min="1" max="1" width="37" style="1" bestFit="1" customWidth="1"/>
    <col min="2" max="2" width="15.42578125" style="2" bestFit="1" customWidth="1"/>
    <col min="3" max="3" width="15.5703125" style="2" bestFit="1" customWidth="1"/>
    <col min="4" max="4" width="14.7109375" style="2" bestFit="1" customWidth="1"/>
    <col min="5" max="6" width="9.140625" style="2"/>
    <col min="7" max="7" width="15.42578125" style="3" bestFit="1" customWidth="1"/>
    <col min="8" max="8" width="15.5703125" style="3" bestFit="1" customWidth="1"/>
    <col min="9" max="9" width="14.7109375" style="3" bestFit="1" customWidth="1"/>
    <col min="10" max="11" width="9.140625" style="3"/>
    <col min="12" max="12" width="15.42578125" style="4" bestFit="1" customWidth="1"/>
    <col min="13" max="13" width="15.5703125" style="4" bestFit="1" customWidth="1"/>
    <col min="14" max="14" width="14.7109375" style="4" bestFit="1" customWidth="1"/>
    <col min="15" max="16" width="9.140625" style="4"/>
    <col min="17" max="17" width="15.42578125" style="5" bestFit="1" customWidth="1"/>
    <col min="18" max="18" width="15.5703125" style="5" bestFit="1" customWidth="1"/>
    <col min="19" max="19" width="14.7109375" style="5" bestFit="1" customWidth="1"/>
    <col min="20" max="21" width="9.140625" style="5"/>
    <col min="22" max="22" width="15.42578125" style="10" bestFit="1" customWidth="1"/>
    <col min="23" max="23" width="15.5703125" style="10" bestFit="1" customWidth="1"/>
    <col min="24" max="24" width="14.7109375" style="10" bestFit="1" customWidth="1"/>
    <col min="25" max="26" width="9.140625" style="10"/>
    <col min="27" max="16384" width="9.140625" style="1"/>
  </cols>
  <sheetData>
    <row r="1" spans="1:26" x14ac:dyDescent="0.25">
      <c r="B1" s="31" t="s">
        <v>63</v>
      </c>
      <c r="C1" s="32"/>
      <c r="D1" s="32"/>
      <c r="E1" s="33"/>
      <c r="G1" s="34" t="s">
        <v>64</v>
      </c>
      <c r="H1" s="35"/>
      <c r="I1" s="35"/>
      <c r="J1" s="36"/>
      <c r="L1" s="37" t="s">
        <v>65</v>
      </c>
      <c r="M1" s="38"/>
      <c r="N1" s="38"/>
      <c r="O1" s="39"/>
      <c r="Q1" s="40" t="s">
        <v>66</v>
      </c>
      <c r="R1" s="41"/>
      <c r="S1" s="41"/>
      <c r="T1" s="42"/>
      <c r="V1" s="28" t="s">
        <v>67</v>
      </c>
      <c r="W1" s="29"/>
      <c r="X1" s="29"/>
      <c r="Y1" s="30"/>
    </row>
    <row r="2" spans="1:26" x14ac:dyDescent="0.25">
      <c r="B2" s="24" t="s">
        <v>9</v>
      </c>
      <c r="C2" s="24"/>
      <c r="D2" s="24"/>
      <c r="E2" s="24"/>
      <c r="F2" s="6"/>
      <c r="G2" s="25" t="s">
        <v>10</v>
      </c>
      <c r="H2" s="25"/>
      <c r="I2" s="25"/>
      <c r="J2" s="25"/>
      <c r="K2" s="7"/>
      <c r="L2" s="26" t="s">
        <v>11</v>
      </c>
      <c r="M2" s="26"/>
      <c r="N2" s="26"/>
      <c r="O2" s="26"/>
      <c r="P2" s="8"/>
      <c r="Q2" s="27" t="s">
        <v>12</v>
      </c>
      <c r="R2" s="27"/>
      <c r="S2" s="27"/>
      <c r="T2" s="27"/>
      <c r="U2" s="9"/>
      <c r="V2" s="23" t="s">
        <v>13</v>
      </c>
      <c r="W2" s="23"/>
      <c r="X2" s="23"/>
      <c r="Y2" s="23"/>
    </row>
    <row r="3" spans="1:26" x14ac:dyDescent="0.25">
      <c r="B3" s="2" t="s">
        <v>5</v>
      </c>
      <c r="C3" s="2" t="s">
        <v>14</v>
      </c>
      <c r="D3" s="2" t="s">
        <v>15</v>
      </c>
      <c r="E3" s="2" t="s">
        <v>16</v>
      </c>
      <c r="G3" s="2" t="s">
        <v>5</v>
      </c>
      <c r="H3" s="2" t="s">
        <v>14</v>
      </c>
      <c r="I3" s="2" t="s">
        <v>15</v>
      </c>
      <c r="J3" s="2" t="s">
        <v>16</v>
      </c>
      <c r="L3" s="2" t="s">
        <v>5</v>
      </c>
      <c r="M3" s="2" t="s">
        <v>14</v>
      </c>
      <c r="N3" s="2" t="s">
        <v>15</v>
      </c>
      <c r="O3" s="2" t="s">
        <v>16</v>
      </c>
      <c r="Q3" s="2" t="s">
        <v>5</v>
      </c>
      <c r="R3" s="2" t="s">
        <v>14</v>
      </c>
      <c r="S3" s="2" t="s">
        <v>15</v>
      </c>
      <c r="T3" s="2" t="s">
        <v>16</v>
      </c>
      <c r="V3" s="2" t="s">
        <v>5</v>
      </c>
      <c r="W3" s="2" t="s">
        <v>14</v>
      </c>
      <c r="X3" s="2" t="s">
        <v>15</v>
      </c>
      <c r="Y3" s="2" t="s">
        <v>16</v>
      </c>
    </row>
    <row r="4" spans="1:26" x14ac:dyDescent="0.25">
      <c r="A4" s="1" t="s">
        <v>6</v>
      </c>
      <c r="B4" s="2">
        <v>67.599999999999994</v>
      </c>
      <c r="C4" s="2">
        <v>38</v>
      </c>
      <c r="D4" s="2">
        <v>28</v>
      </c>
      <c r="E4" s="2">
        <v>50</v>
      </c>
      <c r="G4" s="3">
        <v>59.4</v>
      </c>
      <c r="H4" s="3">
        <v>39</v>
      </c>
      <c r="I4" s="3">
        <v>38</v>
      </c>
      <c r="J4" s="3">
        <v>34</v>
      </c>
      <c r="L4" s="4">
        <v>55</v>
      </c>
      <c r="M4" s="4">
        <v>39</v>
      </c>
      <c r="N4" s="4">
        <v>28</v>
      </c>
      <c r="O4" s="4">
        <v>35</v>
      </c>
      <c r="Q4" s="5">
        <v>62</v>
      </c>
      <c r="R4" s="5">
        <v>56</v>
      </c>
      <c r="S4" s="5">
        <v>28</v>
      </c>
      <c r="T4" s="5">
        <v>39</v>
      </c>
      <c r="V4" s="10">
        <v>59.1</v>
      </c>
      <c r="W4" s="10">
        <v>53</v>
      </c>
      <c r="X4" s="10">
        <v>19</v>
      </c>
      <c r="Y4" s="10">
        <v>44</v>
      </c>
    </row>
    <row r="5" spans="1:26" x14ac:dyDescent="0.25">
      <c r="A5" s="1" t="s">
        <v>0</v>
      </c>
      <c r="B5" s="2">
        <v>74.8</v>
      </c>
      <c r="C5" s="2">
        <v>54</v>
      </c>
      <c r="D5" s="2">
        <v>54</v>
      </c>
      <c r="E5" s="2">
        <v>52</v>
      </c>
      <c r="G5" s="3">
        <v>86.6</v>
      </c>
      <c r="H5" s="3">
        <v>65</v>
      </c>
      <c r="I5" s="3">
        <v>60</v>
      </c>
      <c r="J5" s="3">
        <v>53</v>
      </c>
      <c r="L5" s="4">
        <v>86.9</v>
      </c>
      <c r="M5" s="4">
        <v>67</v>
      </c>
      <c r="N5" s="4">
        <v>63</v>
      </c>
      <c r="O5" s="4">
        <v>54</v>
      </c>
      <c r="Q5" s="5">
        <v>81.900000000000006</v>
      </c>
      <c r="R5" s="5">
        <v>67</v>
      </c>
      <c r="S5" s="5">
        <v>49</v>
      </c>
      <c r="T5" s="5">
        <v>52</v>
      </c>
      <c r="V5" s="10">
        <v>89</v>
      </c>
      <c r="W5" s="10">
        <v>72</v>
      </c>
      <c r="X5" s="10">
        <v>43</v>
      </c>
      <c r="Y5" s="10">
        <v>58</v>
      </c>
    </row>
    <row r="6" spans="1:26" x14ac:dyDescent="0.25">
      <c r="A6" s="1" t="s">
        <v>1</v>
      </c>
      <c r="B6" s="2">
        <v>71.400000000000006</v>
      </c>
      <c r="C6" s="2">
        <v>78</v>
      </c>
      <c r="D6" s="2">
        <v>26</v>
      </c>
      <c r="E6" s="2">
        <v>68</v>
      </c>
      <c r="G6" s="3">
        <v>75.099999999999994</v>
      </c>
      <c r="H6" s="3">
        <v>65</v>
      </c>
      <c r="I6" s="3">
        <v>60</v>
      </c>
      <c r="J6" s="3">
        <v>57</v>
      </c>
      <c r="L6" s="4">
        <v>77.900000000000006</v>
      </c>
      <c r="M6" s="4">
        <v>72</v>
      </c>
      <c r="N6" s="4">
        <v>46</v>
      </c>
      <c r="O6" s="4">
        <v>49</v>
      </c>
      <c r="Q6" s="5">
        <v>74</v>
      </c>
      <c r="R6" s="5">
        <v>75</v>
      </c>
      <c r="S6" s="5">
        <v>40</v>
      </c>
      <c r="T6" s="5">
        <v>43</v>
      </c>
      <c r="V6" s="10">
        <v>78.5</v>
      </c>
      <c r="W6" s="10">
        <v>78</v>
      </c>
      <c r="X6" s="10">
        <v>36</v>
      </c>
      <c r="Y6" s="10">
        <v>41</v>
      </c>
    </row>
    <row r="7" spans="1:26" x14ac:dyDescent="0.25">
      <c r="A7" s="1" t="s">
        <v>2</v>
      </c>
      <c r="B7" s="2">
        <v>9.4</v>
      </c>
      <c r="C7" s="2">
        <v>8.9</v>
      </c>
      <c r="D7" s="2">
        <v>5.6</v>
      </c>
      <c r="E7" s="2">
        <v>8.8000000000000007</v>
      </c>
      <c r="G7" s="3">
        <v>15.9</v>
      </c>
      <c r="H7" s="3">
        <v>11.3</v>
      </c>
      <c r="I7" s="3">
        <v>12.9</v>
      </c>
      <c r="J7" s="3">
        <v>13.6</v>
      </c>
      <c r="L7" s="4">
        <v>15.6</v>
      </c>
      <c r="M7" s="4">
        <v>14.6</v>
      </c>
      <c r="N7" s="4">
        <v>7.4</v>
      </c>
      <c r="O7" s="4">
        <v>10.9</v>
      </c>
      <c r="Q7" s="5">
        <v>17.100000000000001</v>
      </c>
      <c r="R7" s="5">
        <v>20.6</v>
      </c>
      <c r="S7" s="5">
        <v>5</v>
      </c>
      <c r="T7" s="5">
        <v>8.3000000000000007</v>
      </c>
      <c r="V7" s="10">
        <v>16.7</v>
      </c>
      <c r="W7" s="10">
        <v>25</v>
      </c>
      <c r="X7" s="10">
        <v>4.3</v>
      </c>
      <c r="Y7" s="10">
        <v>6.8</v>
      </c>
    </row>
    <row r="8" spans="1:26" s="19" customFormat="1" x14ac:dyDescent="0.25">
      <c r="A8" s="19" t="s">
        <v>62</v>
      </c>
      <c r="B8" s="15">
        <f>SQRT(B6*B7)</f>
        <v>25.906755875639853</v>
      </c>
      <c r="C8" s="15">
        <f t="shared" ref="C8:E8" si="0">SQRT(C6*C7)</f>
        <v>26.347675419285096</v>
      </c>
      <c r="D8" s="15">
        <f t="shared" si="0"/>
        <v>12.066482503198685</v>
      </c>
      <c r="E8" s="15">
        <f t="shared" si="0"/>
        <v>24.462215762273051</v>
      </c>
      <c r="F8" s="15">
        <f t="shared" ref="F8" si="1">SQRT(F6*F7)</f>
        <v>0</v>
      </c>
      <c r="G8" s="15">
        <f t="shared" ref="G8" si="2">SQRT(G6*G7)</f>
        <v>34.555607359732512</v>
      </c>
      <c r="H8" s="15">
        <f t="shared" ref="H8" si="3">SQRT(H6*H7)</f>
        <v>27.101660465735304</v>
      </c>
      <c r="I8" s="15">
        <f t="shared" ref="I8" si="4">SQRT(I6*I7)</f>
        <v>27.820855486487112</v>
      </c>
      <c r="J8" s="15">
        <f t="shared" ref="J8" si="5">SQRT(J6*J7)</f>
        <v>27.842413688471765</v>
      </c>
      <c r="K8" s="15">
        <f t="shared" ref="K8" si="6">SQRT(K6*K7)</f>
        <v>0</v>
      </c>
      <c r="L8" s="15">
        <f t="shared" ref="L8" si="7">SQRT(L6*L7)</f>
        <v>34.860292597739338</v>
      </c>
      <c r="M8" s="15">
        <f t="shared" ref="M8" si="8">SQRT(M6*M7)</f>
        <v>32.42221460665511</v>
      </c>
      <c r="N8" s="15">
        <f t="shared" ref="N8" si="9">SQRT(N6*N7)</f>
        <v>18.449932249198099</v>
      </c>
      <c r="O8" s="15">
        <f t="shared" ref="O8" si="10">SQRT(O6*O7)</f>
        <v>23.110603626906851</v>
      </c>
      <c r="P8" s="15">
        <f t="shared" ref="P8" si="11">SQRT(P6*P7)</f>
        <v>0</v>
      </c>
      <c r="Q8" s="15">
        <f t="shared" ref="Q8" si="12">SQRT(Q6*Q7)</f>
        <v>35.572461258675929</v>
      </c>
      <c r="R8" s="15">
        <f t="shared" ref="R8" si="13">SQRT(R6*R7)</f>
        <v>39.306488014067092</v>
      </c>
      <c r="S8" s="15">
        <f t="shared" ref="S8" si="14">SQRT(S6*S7)</f>
        <v>14.142135623730951</v>
      </c>
      <c r="T8" s="15">
        <f t="shared" ref="T8" si="15">SQRT(T6*T7)</f>
        <v>18.891797161731333</v>
      </c>
      <c r="U8" s="15">
        <f t="shared" ref="U8" si="16">SQRT(U6*U7)</f>
        <v>0</v>
      </c>
      <c r="V8" s="15">
        <f t="shared" ref="V8" si="17">SQRT(V6*V7)</f>
        <v>36.207043513659052</v>
      </c>
      <c r="W8" s="15">
        <f t="shared" ref="W8" si="18">SQRT(W6*W7)</f>
        <v>44.158804331639232</v>
      </c>
      <c r="X8" s="15">
        <f t="shared" ref="X8:Y8" si="19">SQRT(X6*X7)</f>
        <v>12.441864811996632</v>
      </c>
      <c r="Y8" s="15">
        <f t="shared" si="19"/>
        <v>16.697305171793442</v>
      </c>
      <c r="Z8" s="18"/>
    </row>
    <row r="9" spans="1:26" x14ac:dyDescent="0.25">
      <c r="A9" s="1" t="s">
        <v>17</v>
      </c>
      <c r="B9" s="2">
        <v>4.4000000000000004</v>
      </c>
      <c r="C9" s="2">
        <v>74</v>
      </c>
      <c r="D9" s="2">
        <v>40</v>
      </c>
      <c r="E9" s="2">
        <v>82</v>
      </c>
      <c r="G9" s="3">
        <v>15.7</v>
      </c>
      <c r="H9" s="3">
        <v>65</v>
      </c>
      <c r="I9" s="3">
        <v>61</v>
      </c>
      <c r="J9" s="3">
        <v>54</v>
      </c>
      <c r="L9" s="4">
        <v>22.9</v>
      </c>
      <c r="M9" s="4">
        <v>72</v>
      </c>
      <c r="N9" s="4">
        <v>54</v>
      </c>
      <c r="O9" s="4">
        <v>43</v>
      </c>
      <c r="Q9" s="5">
        <v>12.9</v>
      </c>
      <c r="R9" s="5">
        <v>79</v>
      </c>
      <c r="S9" s="5">
        <v>51</v>
      </c>
      <c r="T9" s="5">
        <v>51</v>
      </c>
      <c r="V9" s="10">
        <v>19</v>
      </c>
      <c r="W9" s="10">
        <v>78</v>
      </c>
      <c r="X9" s="10">
        <v>50</v>
      </c>
      <c r="Y9" s="10">
        <v>52</v>
      </c>
    </row>
    <row r="10" spans="1:26" x14ac:dyDescent="0.25">
      <c r="A10" s="1" t="s">
        <v>3</v>
      </c>
      <c r="B10" s="2">
        <v>0.21000000000000002</v>
      </c>
      <c r="C10" s="2">
        <v>26.7</v>
      </c>
      <c r="D10" s="2">
        <v>6.8</v>
      </c>
      <c r="E10" s="2">
        <v>27.9</v>
      </c>
      <c r="G10" s="3">
        <v>2</v>
      </c>
      <c r="H10" s="3">
        <v>17.5</v>
      </c>
      <c r="I10" s="3">
        <v>14</v>
      </c>
      <c r="J10" s="3">
        <v>14.6</v>
      </c>
      <c r="L10" s="4">
        <v>2.95</v>
      </c>
      <c r="M10" s="4">
        <v>20.9</v>
      </c>
      <c r="N10" s="4">
        <v>11.1</v>
      </c>
      <c r="O10" s="4">
        <v>10.7</v>
      </c>
      <c r="Q10" s="5">
        <v>1.3599999999999999</v>
      </c>
      <c r="R10" s="5">
        <v>18.2</v>
      </c>
      <c r="S10" s="5">
        <v>8</v>
      </c>
      <c r="T10" s="5">
        <v>8.3000000000000007</v>
      </c>
      <c r="V10" s="10">
        <v>1.83</v>
      </c>
      <c r="W10" s="10">
        <v>15.1</v>
      </c>
      <c r="X10" s="10">
        <v>9.1</v>
      </c>
      <c r="Y10" s="10">
        <v>9</v>
      </c>
    </row>
    <row r="11" spans="1:26" s="19" customFormat="1" x14ac:dyDescent="0.25">
      <c r="A11" s="19" t="s">
        <v>61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8"/>
    </row>
    <row r="12" spans="1:26" x14ac:dyDescent="0.25">
      <c r="A12" s="1" t="s">
        <v>7</v>
      </c>
      <c r="B12" s="2">
        <v>4.2</v>
      </c>
      <c r="C12" s="2">
        <v>12</v>
      </c>
      <c r="D12" s="12">
        <v>14</v>
      </c>
      <c r="E12" s="2">
        <v>18</v>
      </c>
      <c r="G12" s="3">
        <v>11.8</v>
      </c>
      <c r="H12" s="3">
        <v>15</v>
      </c>
      <c r="I12" s="12">
        <v>14</v>
      </c>
      <c r="J12" s="3">
        <v>46</v>
      </c>
      <c r="L12" s="4">
        <v>9.1</v>
      </c>
      <c r="M12" s="4">
        <v>7</v>
      </c>
      <c r="N12" s="12">
        <v>13</v>
      </c>
      <c r="O12" s="4">
        <v>57</v>
      </c>
      <c r="Q12" s="5">
        <v>9.3000000000000007</v>
      </c>
      <c r="R12" s="5">
        <v>1</v>
      </c>
      <c r="S12" s="5">
        <v>12</v>
      </c>
      <c r="T12" s="5">
        <v>49</v>
      </c>
      <c r="V12" s="10">
        <v>10.8</v>
      </c>
      <c r="W12" s="10">
        <v>8</v>
      </c>
      <c r="X12" s="10">
        <v>11</v>
      </c>
      <c r="Y12" s="10">
        <v>48</v>
      </c>
    </row>
    <row r="13" spans="1:26" x14ac:dyDescent="0.25">
      <c r="A13" s="1" t="s">
        <v>8</v>
      </c>
      <c r="B13" s="2">
        <v>1.2200000000000002</v>
      </c>
      <c r="C13" s="2">
        <v>7.48</v>
      </c>
      <c r="D13" s="12">
        <v>6.0350000000000001</v>
      </c>
      <c r="E13" s="2">
        <v>7.1</v>
      </c>
      <c r="G13" s="3">
        <v>8.0000000000000018</v>
      </c>
      <c r="H13" s="3">
        <v>15.4</v>
      </c>
      <c r="I13" s="12">
        <v>5.6639999999999997</v>
      </c>
      <c r="J13" s="3">
        <v>20.5</v>
      </c>
      <c r="L13" s="4">
        <v>6.45</v>
      </c>
      <c r="M13" s="4">
        <v>3.3</v>
      </c>
      <c r="N13" s="12">
        <v>8.4600000000000009</v>
      </c>
      <c r="O13" s="4">
        <v>17.239999999999998</v>
      </c>
      <c r="Q13" s="5">
        <v>6</v>
      </c>
      <c r="R13" s="5">
        <v>1.37</v>
      </c>
      <c r="S13" s="5">
        <v>10.89</v>
      </c>
      <c r="T13" s="5">
        <v>22.48</v>
      </c>
      <c r="V13" s="10">
        <v>6.82</v>
      </c>
      <c r="W13" s="10">
        <v>1.88</v>
      </c>
      <c r="X13" s="10">
        <v>7.69</v>
      </c>
      <c r="Y13" s="10">
        <v>20.6</v>
      </c>
    </row>
    <row r="14" spans="1:26" s="19" customFormat="1" x14ac:dyDescent="0.25">
      <c r="A14" s="19" t="s">
        <v>18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8"/>
    </row>
    <row r="15" spans="1:26" x14ac:dyDescent="0.25">
      <c r="A15" s="1" t="s">
        <v>4</v>
      </c>
      <c r="B15" s="2">
        <v>308</v>
      </c>
      <c r="C15" s="2">
        <v>401.2</v>
      </c>
      <c r="D15" s="2">
        <v>376.9</v>
      </c>
      <c r="E15" s="2">
        <v>270.5</v>
      </c>
      <c r="G15" s="3">
        <v>224.3</v>
      </c>
      <c r="H15" s="3">
        <v>415.9</v>
      </c>
      <c r="I15" s="3">
        <v>454.9</v>
      </c>
      <c r="J15" s="3">
        <v>379.7</v>
      </c>
      <c r="L15" s="4">
        <v>224.8</v>
      </c>
      <c r="M15" s="4">
        <v>345.3</v>
      </c>
      <c r="N15" s="4">
        <v>466.2</v>
      </c>
      <c r="O15" s="4">
        <v>316.8</v>
      </c>
      <c r="Q15" s="5">
        <v>259.5</v>
      </c>
      <c r="R15" s="5">
        <v>431.4</v>
      </c>
      <c r="S15" s="5">
        <v>419.1</v>
      </c>
      <c r="T15" s="5">
        <v>430.4</v>
      </c>
      <c r="V15" s="10">
        <v>208.7</v>
      </c>
      <c r="W15" s="10">
        <v>355.6</v>
      </c>
      <c r="X15" s="10">
        <v>385.8</v>
      </c>
      <c r="Y15" s="10">
        <v>429.7</v>
      </c>
    </row>
    <row r="16" spans="1:26" x14ac:dyDescent="0.25">
      <c r="A16" s="1" t="s">
        <v>23</v>
      </c>
      <c r="B16" s="2">
        <v>420.8</v>
      </c>
      <c r="C16" s="2">
        <v>203.8</v>
      </c>
      <c r="D16" s="2">
        <v>196</v>
      </c>
      <c r="E16" s="2">
        <v>794.4</v>
      </c>
      <c r="G16" s="3">
        <v>916.5</v>
      </c>
      <c r="H16" s="3">
        <v>727.3</v>
      </c>
      <c r="I16" s="3">
        <v>1093</v>
      </c>
      <c r="J16" s="3">
        <v>932.2</v>
      </c>
      <c r="L16" s="4">
        <v>824.8</v>
      </c>
      <c r="M16" s="4">
        <v>854.3</v>
      </c>
      <c r="N16" s="4">
        <v>449.1</v>
      </c>
      <c r="O16" s="4">
        <v>511.3</v>
      </c>
      <c r="Q16" s="5">
        <v>754.1</v>
      </c>
      <c r="R16" s="5">
        <v>1368.4</v>
      </c>
      <c r="S16" s="5">
        <v>312.10000000000002</v>
      </c>
      <c r="T16" s="5">
        <v>9.6</v>
      </c>
      <c r="V16" s="10">
        <v>1026.0999999999999</v>
      </c>
      <c r="W16" s="10">
        <v>1802.2</v>
      </c>
      <c r="X16" s="10">
        <v>130.5</v>
      </c>
      <c r="Y16" s="10">
        <v>0</v>
      </c>
    </row>
    <row r="17" spans="2:23" x14ac:dyDescent="0.25">
      <c r="B17" s="15"/>
      <c r="C17" s="15"/>
      <c r="G17" s="14"/>
      <c r="H17" s="14"/>
      <c r="L17" s="16"/>
      <c r="M17" s="16"/>
      <c r="Q17" s="17"/>
      <c r="R17" s="17"/>
      <c r="V17" s="18"/>
      <c r="W17" s="18"/>
    </row>
  </sheetData>
  <mergeCells count="10">
    <mergeCell ref="V1:Y1"/>
    <mergeCell ref="B1:E1"/>
    <mergeCell ref="G1:J1"/>
    <mergeCell ref="L1:O1"/>
    <mergeCell ref="Q1:T1"/>
    <mergeCell ref="V2:Y2"/>
    <mergeCell ref="B2:E2"/>
    <mergeCell ref="G2:J2"/>
    <mergeCell ref="L2:O2"/>
    <mergeCell ref="Q2:T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1785-DC4B-4A0B-AB3D-71C93AD93B2F}">
  <dimension ref="A1:Z28"/>
  <sheetViews>
    <sheetView topLeftCell="D1" zoomScale="130" zoomScaleNormal="130" workbookViewId="0">
      <selection activeCell="K34" sqref="K34"/>
    </sheetView>
  </sheetViews>
  <sheetFormatPr defaultRowHeight="15" x14ac:dyDescent="0.25"/>
  <cols>
    <col min="3" max="3" width="11.28515625" customWidth="1"/>
    <col min="4" max="4" width="9" customWidth="1"/>
    <col min="5" max="5" width="8.28515625" customWidth="1"/>
    <col min="6" max="6" width="7.42578125" customWidth="1"/>
    <col min="7" max="7" width="14.140625" customWidth="1"/>
    <col min="8" max="8" width="9.140625" customWidth="1"/>
    <col min="9" max="9" width="9.85546875" customWidth="1"/>
    <col min="10" max="10" width="8.85546875" customWidth="1"/>
    <col min="11" max="11" width="11" customWidth="1"/>
    <col min="12" max="12" width="13.28515625" customWidth="1"/>
    <col min="13" max="13" width="13.140625" customWidth="1"/>
  </cols>
  <sheetData>
    <row r="1" spans="1:13" x14ac:dyDescent="0.25">
      <c r="A1" s="1"/>
      <c r="B1" s="1"/>
      <c r="C1" s="1" t="s">
        <v>20</v>
      </c>
      <c r="D1" s="1" t="s">
        <v>24</v>
      </c>
      <c r="E1" s="1" t="s">
        <v>25</v>
      </c>
      <c r="F1" s="1" t="s">
        <v>26</v>
      </c>
      <c r="G1" s="19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4</v>
      </c>
      <c r="M1" s="1" t="s">
        <v>22</v>
      </c>
    </row>
    <row r="2" spans="1:13" x14ac:dyDescent="0.25">
      <c r="A2" s="24" t="s">
        <v>9</v>
      </c>
      <c r="B2" s="2" t="s">
        <v>5</v>
      </c>
      <c r="C2" s="2">
        <v>64.400000000000006</v>
      </c>
      <c r="D2" s="2">
        <v>73</v>
      </c>
      <c r="E2" s="2">
        <v>68.8</v>
      </c>
      <c r="F2" s="2">
        <v>10.519999999999998</v>
      </c>
      <c r="G2" s="15">
        <f t="shared" ref="G2:G25" si="0">SQRT(E2*F2)</f>
        <v>26.903085324921374</v>
      </c>
      <c r="H2" s="2">
        <v>4.4000000000000004</v>
      </c>
      <c r="I2" s="2">
        <v>0.21000000000000002</v>
      </c>
      <c r="J2" s="2">
        <v>4.2</v>
      </c>
      <c r="K2" s="2">
        <v>1.2200000000000002</v>
      </c>
      <c r="L2" s="2">
        <v>318.50999999999993</v>
      </c>
      <c r="M2" s="2">
        <v>387.92999999999995</v>
      </c>
    </row>
    <row r="3" spans="1:13" x14ac:dyDescent="0.25">
      <c r="A3" s="24"/>
      <c r="B3" s="2" t="s">
        <v>14</v>
      </c>
      <c r="C3" s="2">
        <v>48</v>
      </c>
      <c r="D3" s="2">
        <v>54</v>
      </c>
      <c r="E3" s="2">
        <v>58</v>
      </c>
      <c r="F3" s="2">
        <v>9.4</v>
      </c>
      <c r="G3" s="15">
        <f t="shared" si="0"/>
        <v>23.34951819631403</v>
      </c>
      <c r="H3" s="2">
        <v>37</v>
      </c>
      <c r="I3" s="2">
        <v>3.4</v>
      </c>
      <c r="J3" s="2">
        <v>12</v>
      </c>
      <c r="K3" s="2">
        <v>1.85</v>
      </c>
      <c r="L3" s="2">
        <v>376.9</v>
      </c>
      <c r="M3" s="2">
        <v>158.69999999999999</v>
      </c>
    </row>
    <row r="4" spans="1:13" x14ac:dyDescent="0.25">
      <c r="A4" s="24"/>
      <c r="B4" s="2" t="s">
        <v>15</v>
      </c>
      <c r="C4" s="2">
        <v>38</v>
      </c>
      <c r="D4" s="2">
        <v>50</v>
      </c>
      <c r="E4" s="2">
        <v>58</v>
      </c>
      <c r="F4" s="2">
        <v>8.9</v>
      </c>
      <c r="G4" s="15">
        <f t="shared" si="0"/>
        <v>22.720035211240322</v>
      </c>
      <c r="H4" s="2">
        <v>36</v>
      </c>
      <c r="I4" s="2">
        <v>9.9</v>
      </c>
      <c r="J4" s="12">
        <v>14</v>
      </c>
      <c r="K4" s="12">
        <v>1.95</v>
      </c>
      <c r="L4" s="2">
        <v>401.2</v>
      </c>
      <c r="M4" s="2">
        <v>160.9</v>
      </c>
    </row>
    <row r="5" spans="1:13" x14ac:dyDescent="0.25">
      <c r="A5" s="24"/>
      <c r="B5" s="2" t="s">
        <v>16</v>
      </c>
      <c r="C5" s="2">
        <v>38</v>
      </c>
      <c r="D5" s="2">
        <v>42</v>
      </c>
      <c r="E5" s="2">
        <v>26</v>
      </c>
      <c r="F5" s="2">
        <v>5.8</v>
      </c>
      <c r="G5" s="15">
        <f t="shared" si="0"/>
        <v>12.280065146407001</v>
      </c>
      <c r="H5" s="2">
        <v>20</v>
      </c>
      <c r="I5" s="2">
        <v>7.6</v>
      </c>
      <c r="J5" s="2">
        <v>28</v>
      </c>
      <c r="K5" s="2">
        <v>6.5</v>
      </c>
      <c r="L5" s="2">
        <v>343.2</v>
      </c>
      <c r="M5" s="2">
        <v>175</v>
      </c>
    </row>
    <row r="6" spans="1:13" x14ac:dyDescent="0.25">
      <c r="A6" s="6"/>
      <c r="B6" s="2"/>
      <c r="C6" s="2"/>
      <c r="D6" s="2"/>
      <c r="E6" s="2"/>
      <c r="F6" s="2"/>
      <c r="G6" s="15">
        <f t="shared" si="0"/>
        <v>0</v>
      </c>
      <c r="H6" s="2"/>
      <c r="I6" s="2"/>
      <c r="J6" s="2"/>
      <c r="K6" s="2"/>
      <c r="L6" s="2"/>
      <c r="M6" s="2"/>
    </row>
    <row r="7" spans="1:13" x14ac:dyDescent="0.25">
      <c r="A7" s="25" t="s">
        <v>10</v>
      </c>
      <c r="B7" s="2" t="s">
        <v>5</v>
      </c>
      <c r="C7" s="3">
        <v>56</v>
      </c>
      <c r="D7" s="3">
        <v>86.6</v>
      </c>
      <c r="E7" s="3">
        <v>71.099999999999994</v>
      </c>
      <c r="F7" s="3">
        <v>16.82</v>
      </c>
      <c r="G7" s="15">
        <f t="shared" si="0"/>
        <v>34.581816030972114</v>
      </c>
      <c r="H7" s="3">
        <v>17.3</v>
      </c>
      <c r="I7" s="3">
        <v>2</v>
      </c>
      <c r="J7" s="3">
        <v>15.5</v>
      </c>
      <c r="K7" s="3">
        <v>8.0000000000000018</v>
      </c>
      <c r="L7" s="3">
        <v>247.93999999999997</v>
      </c>
      <c r="M7" s="3">
        <v>860.1</v>
      </c>
    </row>
    <row r="8" spans="1:13" x14ac:dyDescent="0.25">
      <c r="A8" s="25"/>
      <c r="B8" s="2" t="s">
        <v>14</v>
      </c>
      <c r="C8" s="3">
        <v>38</v>
      </c>
      <c r="D8" s="3">
        <v>60</v>
      </c>
      <c r="E8" s="3">
        <v>60</v>
      </c>
      <c r="F8" s="3">
        <v>14.2</v>
      </c>
      <c r="G8" s="15">
        <f t="shared" si="0"/>
        <v>29.189039038652847</v>
      </c>
      <c r="H8" s="3">
        <v>32.5</v>
      </c>
      <c r="I8" s="3">
        <v>7.25</v>
      </c>
      <c r="J8" s="3">
        <v>17</v>
      </c>
      <c r="K8" s="3">
        <v>8.7899999999999991</v>
      </c>
      <c r="L8" s="3">
        <v>454.9</v>
      </c>
      <c r="M8" s="3">
        <v>430</v>
      </c>
    </row>
    <row r="9" spans="1:13" x14ac:dyDescent="0.25">
      <c r="A9" s="25"/>
      <c r="B9" s="2" t="s">
        <v>15</v>
      </c>
      <c r="C9" s="3">
        <v>36</v>
      </c>
      <c r="D9" s="3">
        <v>65</v>
      </c>
      <c r="E9" s="3">
        <v>65</v>
      </c>
      <c r="F9" s="3">
        <v>12.9</v>
      </c>
      <c r="G9" s="15">
        <f t="shared" si="0"/>
        <v>28.956864471140516</v>
      </c>
      <c r="H9" s="3">
        <v>30.5</v>
      </c>
      <c r="I9" s="3">
        <v>10.4</v>
      </c>
      <c r="J9" s="12">
        <v>20</v>
      </c>
      <c r="K9" s="12">
        <v>10.3</v>
      </c>
      <c r="L9" s="3">
        <v>415.9</v>
      </c>
      <c r="M9" s="3">
        <v>334.1</v>
      </c>
    </row>
    <row r="10" spans="1:13" x14ac:dyDescent="0.25">
      <c r="A10" s="25"/>
      <c r="B10" s="2" t="s">
        <v>16</v>
      </c>
      <c r="C10" s="3">
        <v>34</v>
      </c>
      <c r="D10" s="3">
        <v>54</v>
      </c>
      <c r="E10" s="3">
        <v>57</v>
      </c>
      <c r="F10" s="3">
        <v>11.3</v>
      </c>
      <c r="G10" s="15">
        <f t="shared" si="0"/>
        <v>25.379125280434707</v>
      </c>
      <c r="H10" s="3">
        <v>30</v>
      </c>
      <c r="I10" s="3">
        <v>5.65</v>
      </c>
      <c r="J10" s="3">
        <v>40</v>
      </c>
      <c r="K10" s="3">
        <v>17.5</v>
      </c>
      <c r="L10" s="3">
        <v>366.2</v>
      </c>
      <c r="M10" s="3">
        <v>590</v>
      </c>
    </row>
    <row r="11" spans="1:13" x14ac:dyDescent="0.25">
      <c r="A11" s="7"/>
      <c r="B11" s="3"/>
      <c r="C11" s="3"/>
      <c r="D11" s="3"/>
      <c r="E11" s="3"/>
      <c r="F11" s="3"/>
      <c r="G11" s="15">
        <f t="shared" si="0"/>
        <v>0</v>
      </c>
      <c r="H11" s="3"/>
      <c r="I11" s="3"/>
      <c r="J11" s="3"/>
      <c r="K11" s="3"/>
      <c r="L11" s="3"/>
      <c r="M11" s="3"/>
    </row>
    <row r="12" spans="1:13" x14ac:dyDescent="0.25">
      <c r="A12" s="26" t="s">
        <v>11</v>
      </c>
      <c r="B12" s="2" t="s">
        <v>5</v>
      </c>
      <c r="C12" s="4">
        <v>51.2</v>
      </c>
      <c r="D12" s="4">
        <v>86.1</v>
      </c>
      <c r="E12" s="4">
        <v>75.400000000000006</v>
      </c>
      <c r="F12" s="4">
        <v>16.524999999999999</v>
      </c>
      <c r="G12" s="15">
        <f t="shared" si="0"/>
        <v>35.298512716543733</v>
      </c>
      <c r="H12" s="4">
        <v>24.2</v>
      </c>
      <c r="I12" s="4">
        <v>2.95</v>
      </c>
      <c r="J12" s="4">
        <v>10.7</v>
      </c>
      <c r="K12" s="4">
        <v>6.45</v>
      </c>
      <c r="L12" s="4">
        <v>263.73</v>
      </c>
      <c r="M12" s="4">
        <v>721.51</v>
      </c>
    </row>
    <row r="13" spans="1:13" x14ac:dyDescent="0.25">
      <c r="A13" s="26"/>
      <c r="B13" s="2" t="s">
        <v>14</v>
      </c>
      <c r="C13" s="4">
        <v>39</v>
      </c>
      <c r="D13" s="4">
        <v>67</v>
      </c>
      <c r="E13" s="4">
        <v>68</v>
      </c>
      <c r="F13" s="4">
        <v>14.6</v>
      </c>
      <c r="G13" s="15">
        <f t="shared" si="0"/>
        <v>31.508728949292767</v>
      </c>
      <c r="H13" s="4">
        <v>36</v>
      </c>
      <c r="I13" s="4">
        <v>5.55</v>
      </c>
      <c r="J13" s="4">
        <v>13</v>
      </c>
      <c r="K13" s="4">
        <v>1.1000000000000001</v>
      </c>
      <c r="L13" s="4">
        <v>466.2</v>
      </c>
      <c r="M13" s="4">
        <v>662</v>
      </c>
    </row>
    <row r="14" spans="1:13" x14ac:dyDescent="0.25">
      <c r="A14" s="26"/>
      <c r="B14" s="2" t="s">
        <v>15</v>
      </c>
      <c r="C14" s="4">
        <v>33</v>
      </c>
      <c r="D14" s="4">
        <v>63</v>
      </c>
      <c r="E14" s="4">
        <v>72</v>
      </c>
      <c r="F14" s="4">
        <v>14.2</v>
      </c>
      <c r="G14" s="15">
        <f t="shared" si="0"/>
        <v>31.974990226738147</v>
      </c>
      <c r="H14" s="4">
        <v>29</v>
      </c>
      <c r="I14" s="4">
        <v>10.45</v>
      </c>
      <c r="J14" s="12">
        <v>17</v>
      </c>
      <c r="K14" s="12">
        <v>0.2</v>
      </c>
      <c r="L14" s="4">
        <v>345.3</v>
      </c>
      <c r="M14" s="4">
        <v>600</v>
      </c>
    </row>
    <row r="15" spans="1:13" x14ac:dyDescent="0.25">
      <c r="A15" s="26"/>
      <c r="B15" s="2" t="s">
        <v>16</v>
      </c>
      <c r="C15" s="4">
        <v>28</v>
      </c>
      <c r="D15" s="4">
        <v>49</v>
      </c>
      <c r="E15" s="4">
        <v>46</v>
      </c>
      <c r="F15" s="4">
        <v>7.4</v>
      </c>
      <c r="G15" s="15">
        <f t="shared" si="0"/>
        <v>18.449932249198099</v>
      </c>
      <c r="H15" s="4">
        <v>27</v>
      </c>
      <c r="I15" s="4">
        <v>9.65</v>
      </c>
      <c r="J15" s="4">
        <v>46</v>
      </c>
      <c r="K15" s="4">
        <v>20.6</v>
      </c>
      <c r="L15" s="4">
        <v>344.4</v>
      </c>
      <c r="M15" s="4">
        <v>339.5</v>
      </c>
    </row>
    <row r="16" spans="1:13" x14ac:dyDescent="0.25">
      <c r="A16" s="8"/>
      <c r="B16" s="4"/>
      <c r="C16" s="4"/>
      <c r="D16" s="4"/>
      <c r="E16" s="4"/>
      <c r="F16" s="4"/>
      <c r="G16" s="15">
        <f t="shared" si="0"/>
        <v>0</v>
      </c>
      <c r="H16" s="4"/>
      <c r="I16" s="4"/>
      <c r="J16" s="4"/>
      <c r="K16" s="4"/>
      <c r="L16" s="4"/>
      <c r="M16" s="4"/>
    </row>
    <row r="17" spans="1:26" x14ac:dyDescent="0.25">
      <c r="A17" s="27" t="s">
        <v>12</v>
      </c>
      <c r="B17" s="2" t="s">
        <v>5</v>
      </c>
      <c r="C17" s="5">
        <v>59.7</v>
      </c>
      <c r="D17" s="5">
        <v>81.900000000000006</v>
      </c>
      <c r="E17" s="5">
        <v>72.599999999999994</v>
      </c>
      <c r="F17" s="5">
        <v>17.63</v>
      </c>
      <c r="G17" s="15">
        <f t="shared" si="0"/>
        <v>35.776221153162609</v>
      </c>
      <c r="H17" s="5">
        <v>12.9</v>
      </c>
      <c r="I17" s="5">
        <v>1.3599999999999999</v>
      </c>
      <c r="J17" s="5">
        <v>9.3000000000000007</v>
      </c>
      <c r="K17" s="5">
        <v>5</v>
      </c>
      <c r="L17" s="5">
        <v>321.98500000000001</v>
      </c>
      <c r="M17" s="5">
        <v>589.19000000000005</v>
      </c>
    </row>
    <row r="18" spans="1:26" x14ac:dyDescent="0.25">
      <c r="A18" s="27"/>
      <c r="B18" s="2" t="s">
        <v>14</v>
      </c>
      <c r="C18" s="5">
        <v>56</v>
      </c>
      <c r="D18" s="5">
        <v>67</v>
      </c>
      <c r="E18" s="5">
        <v>68</v>
      </c>
      <c r="F18" s="5">
        <v>16.600000000000001</v>
      </c>
      <c r="G18" s="15">
        <f t="shared" si="0"/>
        <v>33.597618963253929</v>
      </c>
      <c r="H18" s="5">
        <v>39.5</v>
      </c>
      <c r="I18" s="5">
        <v>4</v>
      </c>
      <c r="J18" s="5">
        <v>12</v>
      </c>
      <c r="K18" s="5">
        <v>3.4</v>
      </c>
      <c r="L18" s="5">
        <v>431.1</v>
      </c>
      <c r="M18" s="5">
        <v>319</v>
      </c>
    </row>
    <row r="19" spans="1:26" x14ac:dyDescent="0.25">
      <c r="A19" s="27"/>
      <c r="B19" s="2" t="s">
        <v>15</v>
      </c>
      <c r="C19" s="5">
        <v>40</v>
      </c>
      <c r="D19" s="5">
        <v>52</v>
      </c>
      <c r="E19" s="5">
        <v>62</v>
      </c>
      <c r="F19" s="5">
        <v>16.600000000000001</v>
      </c>
      <c r="G19" s="15">
        <f t="shared" si="0"/>
        <v>32.081147111660457</v>
      </c>
      <c r="H19" s="5">
        <v>31.5</v>
      </c>
      <c r="I19" s="5">
        <v>9.1</v>
      </c>
      <c r="J19" s="5">
        <v>14</v>
      </c>
      <c r="K19" s="5">
        <v>6.1</v>
      </c>
      <c r="L19" s="5">
        <v>419.4</v>
      </c>
      <c r="M19" s="5">
        <v>220</v>
      </c>
    </row>
    <row r="20" spans="1:26" x14ac:dyDescent="0.25">
      <c r="A20" s="27"/>
      <c r="B20" s="2" t="s">
        <v>16</v>
      </c>
      <c r="C20" s="5">
        <v>28</v>
      </c>
      <c r="D20" s="5">
        <v>49</v>
      </c>
      <c r="E20" s="5">
        <v>40</v>
      </c>
      <c r="F20" s="5">
        <v>15.4</v>
      </c>
      <c r="G20" s="15">
        <f t="shared" si="0"/>
        <v>24.819347291981714</v>
      </c>
      <c r="H20" s="5">
        <v>25.5</v>
      </c>
      <c r="I20" s="5">
        <v>9.1</v>
      </c>
      <c r="J20" s="5">
        <v>37</v>
      </c>
      <c r="K20" s="5">
        <v>17.600000000000001</v>
      </c>
      <c r="L20" s="5">
        <v>440</v>
      </c>
      <c r="M20" s="5">
        <v>287</v>
      </c>
    </row>
    <row r="21" spans="1:26" x14ac:dyDescent="0.25">
      <c r="A21" s="9"/>
      <c r="B21" s="5"/>
      <c r="C21" s="5"/>
      <c r="D21" s="5"/>
      <c r="E21" s="5"/>
      <c r="F21" s="5"/>
      <c r="G21" s="15">
        <f t="shared" si="0"/>
        <v>0</v>
      </c>
      <c r="H21" s="5"/>
      <c r="I21" s="5"/>
      <c r="J21" s="5"/>
      <c r="K21" s="5"/>
      <c r="L21" s="5"/>
      <c r="M21" s="5"/>
    </row>
    <row r="22" spans="1:26" x14ac:dyDescent="0.25">
      <c r="A22" s="23" t="s">
        <v>13</v>
      </c>
      <c r="B22" s="2" t="s">
        <v>5</v>
      </c>
      <c r="C22" s="10">
        <v>56.1</v>
      </c>
      <c r="D22" s="10">
        <v>87.4</v>
      </c>
      <c r="E22" s="10">
        <v>74.5</v>
      </c>
      <c r="F22" s="10">
        <v>17.55</v>
      </c>
      <c r="G22" s="15">
        <f t="shared" si="0"/>
        <v>36.159023770007956</v>
      </c>
      <c r="H22" s="10">
        <v>18.399999999999999</v>
      </c>
      <c r="I22" s="10">
        <v>1.83</v>
      </c>
      <c r="J22" s="10">
        <v>12.9</v>
      </c>
      <c r="K22" s="10">
        <v>6.82</v>
      </c>
      <c r="L22" s="10">
        <v>240.82000000000002</v>
      </c>
      <c r="M22" s="10">
        <v>952.17</v>
      </c>
    </row>
    <row r="23" spans="1:26" x14ac:dyDescent="0.25">
      <c r="A23" s="23"/>
      <c r="B23" s="2" t="s">
        <v>14</v>
      </c>
      <c r="C23" s="10">
        <v>53</v>
      </c>
      <c r="D23" s="10">
        <v>72</v>
      </c>
      <c r="E23" s="10">
        <v>65</v>
      </c>
      <c r="F23" s="10">
        <v>16</v>
      </c>
      <c r="G23" s="15">
        <f t="shared" si="0"/>
        <v>32.249030993194197</v>
      </c>
      <c r="H23" s="10">
        <v>39</v>
      </c>
      <c r="I23" s="10">
        <v>4.55</v>
      </c>
      <c r="J23" s="10">
        <v>14</v>
      </c>
      <c r="K23" s="10">
        <v>2.8</v>
      </c>
      <c r="L23" s="10">
        <v>385.8</v>
      </c>
      <c r="M23" s="10">
        <v>872</v>
      </c>
    </row>
    <row r="24" spans="1:26" x14ac:dyDescent="0.25">
      <c r="A24" s="23"/>
      <c r="B24" s="2" t="s">
        <v>15</v>
      </c>
      <c r="C24" s="10">
        <v>32</v>
      </c>
      <c r="D24" s="10">
        <v>45</v>
      </c>
      <c r="E24" s="10">
        <v>68</v>
      </c>
      <c r="F24" s="10">
        <v>15.9</v>
      </c>
      <c r="G24" s="15">
        <f t="shared" si="0"/>
        <v>32.881605800203857</v>
      </c>
      <c r="H24" s="10">
        <v>30.5</v>
      </c>
      <c r="I24" s="10">
        <v>7.55</v>
      </c>
      <c r="J24" s="10">
        <v>18</v>
      </c>
      <c r="K24" s="10">
        <v>9.1999999999999993</v>
      </c>
      <c r="L24" s="10">
        <v>418.4</v>
      </c>
      <c r="M24" s="10">
        <v>833.8</v>
      </c>
    </row>
    <row r="25" spans="1:26" x14ac:dyDescent="0.25">
      <c r="A25" s="23"/>
      <c r="B25" s="2" t="s">
        <v>16</v>
      </c>
      <c r="C25" s="10">
        <v>29</v>
      </c>
      <c r="D25" s="10">
        <v>43</v>
      </c>
      <c r="E25" s="10">
        <v>36</v>
      </c>
      <c r="F25" s="10">
        <v>14.3</v>
      </c>
      <c r="G25" s="15">
        <f t="shared" si="0"/>
        <v>22.689204481426845</v>
      </c>
      <c r="H25" s="10">
        <v>25</v>
      </c>
      <c r="I25" s="10">
        <v>9.4</v>
      </c>
      <c r="J25" s="10">
        <v>39</v>
      </c>
      <c r="K25" s="10">
        <v>25.8</v>
      </c>
      <c r="L25" s="10">
        <v>355.6</v>
      </c>
      <c r="M25" s="10">
        <v>855.5</v>
      </c>
    </row>
    <row r="27" spans="1:26" x14ac:dyDescent="0.25">
      <c r="G27" s="2">
        <v>4.2</v>
      </c>
      <c r="H27" s="2">
        <v>12</v>
      </c>
      <c r="I27" s="12">
        <v>14</v>
      </c>
      <c r="J27" s="2">
        <v>28</v>
      </c>
      <c r="K27" s="3">
        <v>15.5</v>
      </c>
      <c r="L27" s="3">
        <v>17</v>
      </c>
      <c r="M27" s="12">
        <v>20</v>
      </c>
      <c r="N27" s="3">
        <v>40</v>
      </c>
      <c r="O27" s="4">
        <v>10.7</v>
      </c>
      <c r="P27" s="4">
        <v>13</v>
      </c>
      <c r="Q27" s="12">
        <v>17</v>
      </c>
      <c r="R27" s="4">
        <v>46</v>
      </c>
      <c r="S27" s="5">
        <v>9.3000000000000007</v>
      </c>
      <c r="T27" s="5">
        <v>12</v>
      </c>
      <c r="U27" s="5">
        <v>14</v>
      </c>
      <c r="V27" s="5">
        <v>37</v>
      </c>
      <c r="W27" s="10">
        <v>12.9</v>
      </c>
      <c r="X27" s="10">
        <v>14</v>
      </c>
      <c r="Y27" s="10">
        <v>18</v>
      </c>
      <c r="Z27" s="10">
        <v>39</v>
      </c>
    </row>
    <row r="28" spans="1:26" x14ac:dyDescent="0.25">
      <c r="G28" s="2">
        <v>1.2200000000000002</v>
      </c>
      <c r="H28" s="2">
        <v>1.85</v>
      </c>
      <c r="I28" s="12">
        <v>1.95</v>
      </c>
      <c r="J28" s="2">
        <v>6.5</v>
      </c>
      <c r="K28" s="3">
        <v>8.0000000000000018</v>
      </c>
      <c r="L28" s="3">
        <v>8.7899999999999991</v>
      </c>
      <c r="M28" s="12">
        <v>10.3</v>
      </c>
      <c r="N28" s="3">
        <v>17.5</v>
      </c>
      <c r="O28" s="4">
        <v>6.45</v>
      </c>
      <c r="P28" s="4">
        <v>1.1000000000000001</v>
      </c>
      <c r="Q28" s="12">
        <v>0.2</v>
      </c>
      <c r="R28" s="4">
        <v>20.6</v>
      </c>
      <c r="S28" s="5">
        <v>5</v>
      </c>
      <c r="T28" s="5">
        <v>3.4</v>
      </c>
      <c r="U28" s="5">
        <v>6.1</v>
      </c>
      <c r="V28" s="5">
        <v>17.600000000000001</v>
      </c>
      <c r="W28" s="10">
        <v>6.82</v>
      </c>
      <c r="X28" s="10">
        <v>2.8</v>
      </c>
      <c r="Y28" s="10">
        <v>9.1999999999999993</v>
      </c>
      <c r="Z28" s="10">
        <v>25.8</v>
      </c>
    </row>
  </sheetData>
  <mergeCells count="5">
    <mergeCell ref="A7:A10"/>
    <mergeCell ref="A12:A15"/>
    <mergeCell ref="A17:A20"/>
    <mergeCell ref="A22:A25"/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80FA-6424-487F-B6EB-9130166A6B03}">
  <dimension ref="A1:AC43"/>
  <sheetViews>
    <sheetView topLeftCell="O1" workbookViewId="0">
      <selection activeCell="P52" sqref="P52"/>
    </sheetView>
  </sheetViews>
  <sheetFormatPr defaultRowHeight="15" x14ac:dyDescent="0.25"/>
  <cols>
    <col min="1" max="1" width="10.7109375" style="11" bestFit="1" customWidth="1"/>
    <col min="2" max="2" width="11" style="11" bestFit="1" customWidth="1"/>
    <col min="3" max="3" width="11" style="11" customWidth="1"/>
    <col min="4" max="15" width="9.140625" style="11"/>
    <col min="16" max="16" width="36.42578125" style="11" bestFit="1" customWidth="1"/>
    <col min="17" max="22" width="9.140625" style="11"/>
    <col min="23" max="23" width="18.5703125" style="11" bestFit="1" customWidth="1"/>
    <col min="24" max="16384" width="9.140625" style="11"/>
  </cols>
  <sheetData>
    <row r="1" spans="1:29" x14ac:dyDescent="0.25">
      <c r="C1" s="43" t="s">
        <v>21</v>
      </c>
      <c r="D1" s="43"/>
      <c r="E1" s="43"/>
      <c r="F1" s="43"/>
      <c r="G1" s="43"/>
      <c r="H1" s="43"/>
      <c r="I1" s="43"/>
      <c r="J1" s="43"/>
      <c r="K1" s="43"/>
    </row>
    <row r="2" spans="1:29" ht="15.75" thickBot="1" x14ac:dyDescent="0.3">
      <c r="B2" s="11" t="s">
        <v>20</v>
      </c>
      <c r="C2" s="11">
        <v>25</v>
      </c>
      <c r="D2" s="11">
        <v>50</v>
      </c>
      <c r="E2" s="11">
        <v>100</v>
      </c>
      <c r="F2" s="11">
        <v>200</v>
      </c>
      <c r="G2" s="11">
        <v>300</v>
      </c>
      <c r="H2" s="11">
        <v>400</v>
      </c>
      <c r="I2" s="11">
        <v>500</v>
      </c>
      <c r="J2" s="11">
        <v>600</v>
      </c>
      <c r="K2" s="11">
        <v>700</v>
      </c>
      <c r="L2" s="11">
        <v>800</v>
      </c>
      <c r="P2" t="s">
        <v>33</v>
      </c>
      <c r="Q2"/>
      <c r="R2"/>
      <c r="S2"/>
      <c r="T2"/>
      <c r="U2"/>
      <c r="V2"/>
      <c r="W2" t="s">
        <v>59</v>
      </c>
      <c r="X2"/>
      <c r="Y2"/>
      <c r="Z2"/>
      <c r="AA2"/>
      <c r="AB2"/>
      <c r="AC2"/>
    </row>
    <row r="3" spans="1:29" ht="15.75" thickBot="1" x14ac:dyDescent="0.3">
      <c r="A3" s="44" t="s">
        <v>19</v>
      </c>
      <c r="B3" s="11">
        <v>25</v>
      </c>
      <c r="C3" s="11">
        <v>40.5</v>
      </c>
      <c r="D3" s="11">
        <v>41.6</v>
      </c>
      <c r="E3" s="11">
        <v>43.5</v>
      </c>
      <c r="F3" s="11">
        <v>48.6</v>
      </c>
      <c r="G3" s="11">
        <v>50.2</v>
      </c>
      <c r="P3"/>
      <c r="Q3"/>
      <c r="R3"/>
      <c r="S3"/>
      <c r="T3"/>
      <c r="U3"/>
      <c r="V3"/>
      <c r="W3" s="21" t="s">
        <v>49</v>
      </c>
      <c r="X3" s="21" t="s">
        <v>50</v>
      </c>
      <c r="Y3" s="21" t="s">
        <v>51</v>
      </c>
      <c r="Z3" s="21" t="s">
        <v>52</v>
      </c>
      <c r="AA3" s="21" t="s">
        <v>53</v>
      </c>
      <c r="AB3" s="21" t="s">
        <v>54</v>
      </c>
      <c r="AC3" s="21" t="s">
        <v>55</v>
      </c>
    </row>
    <row r="4" spans="1:29" x14ac:dyDescent="0.25">
      <c r="A4" s="44"/>
      <c r="B4" s="11">
        <v>50</v>
      </c>
      <c r="C4" s="11">
        <v>41.1</v>
      </c>
      <c r="D4" s="11">
        <v>42.4</v>
      </c>
      <c r="E4" s="11">
        <v>44.1</v>
      </c>
      <c r="F4" s="11">
        <v>49</v>
      </c>
      <c r="G4" s="11">
        <v>51.7</v>
      </c>
      <c r="P4" s="21" t="s">
        <v>34</v>
      </c>
      <c r="Q4" s="21" t="s">
        <v>35</v>
      </c>
      <c r="R4" s="21" t="s">
        <v>36</v>
      </c>
      <c r="S4" s="21" t="s">
        <v>37</v>
      </c>
      <c r="T4" s="21" t="s">
        <v>38</v>
      </c>
      <c r="U4"/>
      <c r="V4"/>
      <c r="W4" t="s">
        <v>19</v>
      </c>
      <c r="X4">
        <v>28.333599999999933</v>
      </c>
      <c r="Y4">
        <v>4</v>
      </c>
      <c r="Z4">
        <v>7.0833999999999833</v>
      </c>
      <c r="AA4">
        <v>14.947035239501844</v>
      </c>
      <c r="AB4">
        <v>2.8849045438957617E-5</v>
      </c>
      <c r="AC4">
        <v>3.0069172799243447</v>
      </c>
    </row>
    <row r="5" spans="1:29" x14ac:dyDescent="0.25">
      <c r="A5" s="44"/>
      <c r="B5" s="11">
        <v>100</v>
      </c>
      <c r="C5" s="11">
        <v>41.8</v>
      </c>
      <c r="D5" s="11">
        <v>42.9</v>
      </c>
      <c r="E5" s="11">
        <v>44.3</v>
      </c>
      <c r="F5" s="11">
        <v>50.5</v>
      </c>
      <c r="G5" s="11">
        <v>52.1</v>
      </c>
      <c r="H5" s="11">
        <v>53</v>
      </c>
      <c r="I5" s="11">
        <v>56</v>
      </c>
      <c r="J5" s="11">
        <v>56.2</v>
      </c>
      <c r="K5" s="11">
        <v>56.5</v>
      </c>
      <c r="L5" s="11">
        <v>56.9</v>
      </c>
      <c r="P5" t="s">
        <v>39</v>
      </c>
      <c r="Q5">
        <v>5</v>
      </c>
      <c r="R5">
        <v>224.39999999999998</v>
      </c>
      <c r="S5">
        <v>44.879999999999995</v>
      </c>
      <c r="T5">
        <v>18.497000000000007</v>
      </c>
      <c r="U5"/>
      <c r="V5"/>
      <c r="W5" t="s">
        <v>58</v>
      </c>
      <c r="X5">
        <v>387.23360000000008</v>
      </c>
      <c r="Y5">
        <v>4</v>
      </c>
      <c r="Z5">
        <v>96.80840000000002</v>
      </c>
      <c r="AA5">
        <v>204.28022789617896</v>
      </c>
      <c r="AB5" s="22">
        <v>1.6370435271247299E-13</v>
      </c>
      <c r="AC5">
        <v>3.0069172799243447</v>
      </c>
    </row>
    <row r="6" spans="1:29" x14ac:dyDescent="0.25">
      <c r="A6" s="44"/>
      <c r="B6" s="11">
        <v>200</v>
      </c>
      <c r="C6" s="11">
        <v>39.6</v>
      </c>
      <c r="D6" s="11">
        <v>41.9</v>
      </c>
      <c r="E6" s="11">
        <v>43.7</v>
      </c>
      <c r="F6" s="11">
        <v>46.4</v>
      </c>
      <c r="G6" s="11">
        <v>50.4</v>
      </c>
      <c r="P6" t="s">
        <v>40</v>
      </c>
      <c r="Q6">
        <v>5</v>
      </c>
      <c r="R6">
        <v>228.3</v>
      </c>
      <c r="S6">
        <v>45.660000000000004</v>
      </c>
      <c r="T6">
        <v>20.373000000000005</v>
      </c>
      <c r="U6"/>
      <c r="V6"/>
      <c r="W6" t="s">
        <v>56</v>
      </c>
      <c r="X6">
        <v>7.5824000000000638</v>
      </c>
      <c r="Y6">
        <v>16</v>
      </c>
      <c r="Z6">
        <v>0.47390000000000398</v>
      </c>
      <c r="AA6"/>
      <c r="AB6"/>
      <c r="AC6"/>
    </row>
    <row r="7" spans="1:29" x14ac:dyDescent="0.25">
      <c r="A7" s="44"/>
      <c r="B7" s="11">
        <v>300</v>
      </c>
      <c r="C7" s="11">
        <v>39.4</v>
      </c>
      <c r="D7" s="11">
        <v>40.299999999999997</v>
      </c>
      <c r="E7" s="11">
        <v>40.700000000000003</v>
      </c>
      <c r="F7" s="11">
        <v>45.6</v>
      </c>
      <c r="G7" s="11">
        <v>50.1</v>
      </c>
      <c r="P7" t="s">
        <v>41</v>
      </c>
      <c r="Q7">
        <v>5</v>
      </c>
      <c r="R7">
        <v>231.6</v>
      </c>
      <c r="S7">
        <v>46.32</v>
      </c>
      <c r="T7">
        <v>21.772000000000016</v>
      </c>
      <c r="U7"/>
      <c r="V7"/>
      <c r="W7"/>
      <c r="X7"/>
      <c r="Y7"/>
      <c r="Z7"/>
      <c r="AA7"/>
      <c r="AB7"/>
      <c r="AC7"/>
    </row>
    <row r="8" spans="1:29" ht="15.75" thickBot="1" x14ac:dyDescent="0.3">
      <c r="A8" s="44"/>
      <c r="P8" t="s">
        <v>42</v>
      </c>
      <c r="Q8">
        <v>5</v>
      </c>
      <c r="R8">
        <v>222</v>
      </c>
      <c r="S8">
        <v>44.4</v>
      </c>
      <c r="T8">
        <v>17.444999999999993</v>
      </c>
      <c r="U8"/>
      <c r="V8"/>
      <c r="W8" s="20" t="s">
        <v>57</v>
      </c>
      <c r="X8" s="20">
        <v>423.14960000000008</v>
      </c>
      <c r="Y8" s="20">
        <v>24</v>
      </c>
      <c r="Z8" s="20"/>
      <c r="AA8" s="20"/>
      <c r="AB8" s="20"/>
      <c r="AC8" s="20"/>
    </row>
    <row r="9" spans="1:29" x14ac:dyDescent="0.25">
      <c r="A9" s="44"/>
      <c r="P9" t="s">
        <v>43</v>
      </c>
      <c r="Q9">
        <v>5</v>
      </c>
      <c r="R9">
        <v>216.1</v>
      </c>
      <c r="S9">
        <v>43.22</v>
      </c>
      <c r="T9">
        <v>20.617000000000012</v>
      </c>
      <c r="U9"/>
      <c r="V9"/>
    </row>
    <row r="10" spans="1:29" x14ac:dyDescent="0.25">
      <c r="A10" s="44"/>
      <c r="P10"/>
      <c r="Q10"/>
      <c r="R10"/>
      <c r="S10"/>
      <c r="T10"/>
      <c r="U10"/>
      <c r="V10"/>
    </row>
    <row r="11" spans="1:29" x14ac:dyDescent="0.25">
      <c r="A11" s="44"/>
      <c r="P11" t="s">
        <v>44</v>
      </c>
      <c r="Q11">
        <v>5</v>
      </c>
      <c r="R11">
        <v>202.4</v>
      </c>
      <c r="S11">
        <v>40.480000000000004</v>
      </c>
      <c r="T11">
        <v>1.0169999999999988</v>
      </c>
      <c r="U11"/>
      <c r="V11"/>
    </row>
    <row r="12" spans="1:29" x14ac:dyDescent="0.25">
      <c r="A12" s="13"/>
      <c r="P12" t="s">
        <v>45</v>
      </c>
      <c r="Q12">
        <v>5</v>
      </c>
      <c r="R12">
        <v>209.10000000000002</v>
      </c>
      <c r="S12">
        <v>41.820000000000007</v>
      </c>
      <c r="T12">
        <v>0.96700000000000075</v>
      </c>
      <c r="U12"/>
      <c r="V12"/>
    </row>
    <row r="13" spans="1:29" x14ac:dyDescent="0.25">
      <c r="P13" t="s">
        <v>46</v>
      </c>
      <c r="Q13">
        <v>5</v>
      </c>
      <c r="R13">
        <v>216.29999999999995</v>
      </c>
      <c r="S13">
        <v>43.259999999999991</v>
      </c>
      <c r="T13">
        <v>2.1479999999999961</v>
      </c>
      <c r="U13"/>
      <c r="V13"/>
    </row>
    <row r="14" spans="1:29" x14ac:dyDescent="0.25">
      <c r="P14" t="s">
        <v>47</v>
      </c>
      <c r="Q14">
        <v>5</v>
      </c>
      <c r="R14">
        <v>240.1</v>
      </c>
      <c r="S14">
        <v>48.019999999999996</v>
      </c>
      <c r="T14">
        <v>3.9819999999999998</v>
      </c>
      <c r="U14"/>
      <c r="V14"/>
    </row>
    <row r="15" spans="1:29" ht="15.75" thickBot="1" x14ac:dyDescent="0.3">
      <c r="C15" s="43" t="s">
        <v>21</v>
      </c>
      <c r="D15" s="43"/>
      <c r="E15" s="43"/>
      <c r="F15" s="43"/>
      <c r="G15" s="43"/>
      <c r="H15" s="43"/>
      <c r="I15" s="43"/>
      <c r="J15" s="43"/>
      <c r="K15" s="43"/>
      <c r="P15" s="20" t="s">
        <v>48</v>
      </c>
      <c r="Q15" s="20">
        <v>5</v>
      </c>
      <c r="R15" s="20">
        <v>254.5</v>
      </c>
      <c r="S15" s="20">
        <v>50.9</v>
      </c>
      <c r="T15" s="20">
        <v>0.86500000000000066</v>
      </c>
      <c r="U15"/>
      <c r="V15"/>
    </row>
    <row r="16" spans="1:29" x14ac:dyDescent="0.25">
      <c r="B16" s="11" t="s">
        <v>22</v>
      </c>
      <c r="C16" s="11">
        <v>25</v>
      </c>
      <c r="D16" s="11">
        <v>50</v>
      </c>
      <c r="E16" s="11">
        <v>100</v>
      </c>
      <c r="F16" s="11">
        <v>200</v>
      </c>
      <c r="G16" s="11">
        <v>300</v>
      </c>
      <c r="H16" s="11">
        <v>400</v>
      </c>
      <c r="I16" s="11">
        <v>500</v>
      </c>
      <c r="J16" s="11">
        <v>600</v>
      </c>
      <c r="K16" s="11">
        <v>700</v>
      </c>
      <c r="L16" s="11">
        <v>800</v>
      </c>
      <c r="P16"/>
      <c r="Q16"/>
      <c r="R16"/>
      <c r="S16"/>
      <c r="T16"/>
      <c r="U16"/>
      <c r="V16"/>
    </row>
    <row r="17" spans="1:29" x14ac:dyDescent="0.25">
      <c r="A17" s="44" t="s">
        <v>19</v>
      </c>
      <c r="B17" s="11">
        <v>25</v>
      </c>
      <c r="C17" s="11">
        <v>409.2</v>
      </c>
      <c r="D17" s="11">
        <v>437.9</v>
      </c>
      <c r="E17" s="11">
        <v>466.6</v>
      </c>
      <c r="F17" s="11">
        <v>583.6</v>
      </c>
      <c r="G17" s="11">
        <v>691.3</v>
      </c>
      <c r="P17"/>
      <c r="Q17"/>
      <c r="R17"/>
      <c r="S17"/>
      <c r="T17"/>
      <c r="U17"/>
      <c r="V17"/>
    </row>
    <row r="18" spans="1:29" x14ac:dyDescent="0.25">
      <c r="A18" s="44"/>
      <c r="B18" s="11">
        <v>50</v>
      </c>
      <c r="C18" s="11">
        <v>420.9</v>
      </c>
      <c r="D18" s="11">
        <v>425</v>
      </c>
      <c r="E18" s="11">
        <v>474.88</v>
      </c>
      <c r="F18" s="11">
        <v>591.20000000000005</v>
      </c>
      <c r="G18" s="11">
        <v>695.9</v>
      </c>
    </row>
    <row r="19" spans="1:29" x14ac:dyDescent="0.25">
      <c r="A19" s="44"/>
      <c r="B19" s="11">
        <v>100</v>
      </c>
      <c r="C19" s="11">
        <v>436.23</v>
      </c>
      <c r="D19" s="11">
        <v>426.8</v>
      </c>
      <c r="E19" s="11">
        <v>520.4</v>
      </c>
      <c r="F19" s="11">
        <v>648.6</v>
      </c>
      <c r="G19" s="11">
        <v>742.6</v>
      </c>
      <c r="H19" s="11">
        <v>812.8</v>
      </c>
      <c r="I19" s="11">
        <v>860.07</v>
      </c>
      <c r="J19" s="11">
        <v>862.2</v>
      </c>
      <c r="K19" s="11">
        <v>866.8</v>
      </c>
      <c r="L19" s="11">
        <v>869.6</v>
      </c>
    </row>
    <row r="20" spans="1:29" ht="15.75" thickBot="1" x14ac:dyDescent="0.3">
      <c r="A20" s="44"/>
      <c r="B20" s="11">
        <v>200</v>
      </c>
      <c r="C20" s="11">
        <v>390.5</v>
      </c>
      <c r="D20" s="11">
        <v>392.5</v>
      </c>
      <c r="E20" s="11">
        <v>516.5</v>
      </c>
      <c r="F20" s="11">
        <v>626.70000000000005</v>
      </c>
      <c r="G20" s="11">
        <v>724.4</v>
      </c>
      <c r="P20" t="s">
        <v>33</v>
      </c>
      <c r="Q20"/>
      <c r="R20"/>
      <c r="S20"/>
      <c r="T20"/>
      <c r="U20"/>
      <c r="V20"/>
      <c r="W20" t="s">
        <v>60</v>
      </c>
      <c r="X20"/>
      <c r="Y20"/>
      <c r="Z20"/>
      <c r="AA20"/>
      <c r="AB20"/>
      <c r="AC20"/>
    </row>
    <row r="21" spans="1:29" ht="15.75" thickBot="1" x14ac:dyDescent="0.3">
      <c r="A21" s="44"/>
      <c r="B21" s="11">
        <v>300</v>
      </c>
      <c r="C21" s="11">
        <v>379.2</v>
      </c>
      <c r="D21" s="11">
        <v>395.2</v>
      </c>
      <c r="E21" s="11">
        <v>494.5</v>
      </c>
      <c r="F21" s="11">
        <v>566.87</v>
      </c>
      <c r="G21" s="11">
        <v>647.4</v>
      </c>
      <c r="P21"/>
      <c r="Q21"/>
      <c r="R21"/>
      <c r="S21"/>
      <c r="T21"/>
      <c r="U21"/>
      <c r="V21"/>
      <c r="W21" s="21" t="s">
        <v>49</v>
      </c>
      <c r="X21" s="21" t="s">
        <v>50</v>
      </c>
      <c r="Y21" s="21" t="s">
        <v>51</v>
      </c>
      <c r="Z21" s="21" t="s">
        <v>52</v>
      </c>
      <c r="AA21" s="21" t="s">
        <v>53</v>
      </c>
      <c r="AB21" s="21" t="s">
        <v>54</v>
      </c>
      <c r="AC21" s="21" t="s">
        <v>55</v>
      </c>
    </row>
    <row r="22" spans="1:29" x14ac:dyDescent="0.25">
      <c r="A22" s="44"/>
      <c r="P22" s="21" t="s">
        <v>34</v>
      </c>
      <c r="Q22" s="21" t="s">
        <v>35</v>
      </c>
      <c r="R22" s="21" t="s">
        <v>36</v>
      </c>
      <c r="S22" s="21" t="s">
        <v>37</v>
      </c>
      <c r="T22" s="21" t="s">
        <v>38</v>
      </c>
      <c r="U22"/>
      <c r="V22"/>
      <c r="W22" t="s">
        <v>19</v>
      </c>
      <c r="X22">
        <v>8939.4674640000449</v>
      </c>
      <c r="Y22">
        <v>4</v>
      </c>
      <c r="Z22">
        <v>2234.8668660000112</v>
      </c>
      <c r="AA22">
        <v>5.2072832442010446</v>
      </c>
      <c r="AB22">
        <v>7.0100341927814497E-3</v>
      </c>
      <c r="AC22">
        <v>3.0069172799243447</v>
      </c>
    </row>
    <row r="23" spans="1:29" x14ac:dyDescent="0.25">
      <c r="A23" s="44"/>
      <c r="P23" t="s">
        <v>39</v>
      </c>
      <c r="Q23">
        <v>5</v>
      </c>
      <c r="R23">
        <v>2588.5999999999995</v>
      </c>
      <c r="S23">
        <v>517.71999999999991</v>
      </c>
      <c r="T23">
        <v>13807.817000000156</v>
      </c>
      <c r="U23"/>
      <c r="V23"/>
      <c r="W23" t="s">
        <v>58</v>
      </c>
      <c r="X23">
        <v>318375.798664</v>
      </c>
      <c r="Y23">
        <v>4</v>
      </c>
      <c r="Z23">
        <v>79593.949666</v>
      </c>
      <c r="AA23">
        <v>185.45545004985593</v>
      </c>
      <c r="AB23">
        <v>3.4868852500263347E-13</v>
      </c>
      <c r="AC23">
        <v>3.0069172799243447</v>
      </c>
    </row>
    <row r="24" spans="1:29" x14ac:dyDescent="0.25">
      <c r="A24" s="44"/>
      <c r="P24" t="s">
        <v>40</v>
      </c>
      <c r="Q24">
        <v>5</v>
      </c>
      <c r="R24">
        <v>2607.88</v>
      </c>
      <c r="S24">
        <v>521.57600000000002</v>
      </c>
      <c r="T24">
        <v>14219.863879999903</v>
      </c>
      <c r="U24"/>
      <c r="V24"/>
      <c r="W24" t="s">
        <v>56</v>
      </c>
      <c r="X24">
        <v>6866.8954959999537</v>
      </c>
      <c r="Y24">
        <v>16</v>
      </c>
      <c r="Z24">
        <v>429.18096849999711</v>
      </c>
      <c r="AA24"/>
      <c r="AB24"/>
      <c r="AC24"/>
    </row>
    <row r="25" spans="1:29" x14ac:dyDescent="0.25">
      <c r="A25" s="44"/>
      <c r="P25" t="s">
        <v>41</v>
      </c>
      <c r="Q25">
        <v>5</v>
      </c>
      <c r="R25">
        <v>2774.6299999999997</v>
      </c>
      <c r="S25">
        <v>554.92599999999993</v>
      </c>
      <c r="T25">
        <v>18923.351380000066</v>
      </c>
      <c r="U25"/>
      <c r="V25"/>
      <c r="W25"/>
      <c r="X25"/>
      <c r="Y25"/>
      <c r="Z25"/>
      <c r="AA25"/>
      <c r="AB25"/>
      <c r="AC25"/>
    </row>
    <row r="26" spans="1:29" ht="15.75" thickBot="1" x14ac:dyDescent="0.3">
      <c r="P26" t="s">
        <v>42</v>
      </c>
      <c r="Q26">
        <v>5</v>
      </c>
      <c r="R26">
        <v>2650.6</v>
      </c>
      <c r="S26">
        <v>530.12</v>
      </c>
      <c r="T26">
        <v>21422.732000000018</v>
      </c>
      <c r="U26"/>
      <c r="V26"/>
      <c r="W26" s="20" t="s">
        <v>57</v>
      </c>
      <c r="X26" s="20">
        <v>334182.161624</v>
      </c>
      <c r="Y26" s="20">
        <v>24</v>
      </c>
      <c r="Z26" s="20"/>
      <c r="AA26" s="20"/>
      <c r="AB26" s="20"/>
      <c r="AC26" s="20"/>
    </row>
    <row r="27" spans="1:29" x14ac:dyDescent="0.25">
      <c r="P27" t="s">
        <v>43</v>
      </c>
      <c r="Q27">
        <v>5</v>
      </c>
      <c r="R27">
        <v>2483.17</v>
      </c>
      <c r="S27">
        <v>496.63400000000001</v>
      </c>
      <c r="T27">
        <v>12936.909279999963</v>
      </c>
      <c r="U27"/>
      <c r="V27"/>
    </row>
    <row r="28" spans="1:29" x14ac:dyDescent="0.25">
      <c r="P28"/>
      <c r="Q28"/>
      <c r="R28"/>
      <c r="S28"/>
      <c r="T28"/>
      <c r="U28"/>
      <c r="V28"/>
    </row>
    <row r="29" spans="1:29" x14ac:dyDescent="0.25">
      <c r="B29" s="11">
        <v>1</v>
      </c>
      <c r="C29" s="11">
        <v>2</v>
      </c>
      <c r="D29" s="11">
        <v>3</v>
      </c>
      <c r="E29" s="11">
        <v>4</v>
      </c>
      <c r="F29" s="11">
        <v>5</v>
      </c>
      <c r="G29" s="11">
        <v>6</v>
      </c>
      <c r="H29" s="11">
        <v>7</v>
      </c>
      <c r="I29" s="11">
        <v>8</v>
      </c>
      <c r="J29" s="11">
        <v>9</v>
      </c>
      <c r="K29" s="11">
        <v>10</v>
      </c>
      <c r="P29" t="s">
        <v>44</v>
      </c>
      <c r="Q29">
        <v>5</v>
      </c>
      <c r="R29">
        <v>2036.03</v>
      </c>
      <c r="S29">
        <v>407.20600000000002</v>
      </c>
      <c r="T29">
        <v>524.33018000000027</v>
      </c>
      <c r="U29"/>
      <c r="V29"/>
    </row>
    <row r="30" spans="1:29" x14ac:dyDescent="0.25">
      <c r="A30" s="11" t="s">
        <v>20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f>AVERAGE(B30:K30)</f>
        <v>0</v>
      </c>
      <c r="P30" t="s">
        <v>45</v>
      </c>
      <c r="Q30">
        <v>5</v>
      </c>
      <c r="R30">
        <v>2077.4</v>
      </c>
      <c r="S30">
        <v>415.48</v>
      </c>
      <c r="T30">
        <v>415.19699999999995</v>
      </c>
      <c r="U30"/>
      <c r="V30"/>
    </row>
    <row r="31" spans="1:29" x14ac:dyDescent="0.25">
      <c r="A31" s="11" t="s">
        <v>22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f>AVERAGE(B31:K31)</f>
        <v>0</v>
      </c>
      <c r="P31" t="s">
        <v>46</v>
      </c>
      <c r="Q31">
        <v>5</v>
      </c>
      <c r="R31">
        <v>2472.88</v>
      </c>
      <c r="S31">
        <v>494.57600000000002</v>
      </c>
      <c r="T31">
        <v>579.53387999999939</v>
      </c>
      <c r="U31"/>
      <c r="V31"/>
    </row>
    <row r="32" spans="1:29" x14ac:dyDescent="0.25">
      <c r="P32" t="s">
        <v>47</v>
      </c>
      <c r="Q32">
        <v>5</v>
      </c>
      <c r="R32">
        <v>3016.9700000000003</v>
      </c>
      <c r="S32">
        <v>603.39400000000001</v>
      </c>
      <c r="T32">
        <v>1115.3126800000005</v>
      </c>
      <c r="U32"/>
      <c r="V32"/>
    </row>
    <row r="33" spans="2:22" ht="15.75" thickBot="1" x14ac:dyDescent="0.3">
      <c r="P33" s="20" t="s">
        <v>48</v>
      </c>
      <c r="Q33" s="20">
        <v>5</v>
      </c>
      <c r="R33" s="20">
        <v>3501.6</v>
      </c>
      <c r="S33" s="20">
        <v>700.31999999999994</v>
      </c>
      <c r="T33" s="20">
        <v>1317.217000000001</v>
      </c>
      <c r="U33"/>
      <c r="V33"/>
    </row>
    <row r="34" spans="2:22" x14ac:dyDescent="0.25">
      <c r="B34" s="43" t="s">
        <v>20</v>
      </c>
      <c r="C34" s="43"/>
      <c r="D34" s="43"/>
      <c r="E34" s="43"/>
      <c r="F34" s="43"/>
      <c r="G34" s="43"/>
      <c r="H34" s="43" t="s">
        <v>22</v>
      </c>
      <c r="I34" s="43"/>
      <c r="J34" s="43"/>
      <c r="K34" s="43"/>
      <c r="L34" s="43"/>
      <c r="P34"/>
      <c r="Q34"/>
      <c r="R34"/>
      <c r="S34"/>
      <c r="T34"/>
      <c r="U34"/>
      <c r="V34"/>
    </row>
    <row r="35" spans="2:22" x14ac:dyDescent="0.25">
      <c r="B35" s="11" t="s">
        <v>32</v>
      </c>
      <c r="C35" s="11">
        <v>25</v>
      </c>
      <c r="D35" s="11">
        <v>50</v>
      </c>
      <c r="E35" s="11">
        <v>100</v>
      </c>
      <c r="F35" s="11">
        <v>200</v>
      </c>
      <c r="G35" s="11">
        <v>300</v>
      </c>
      <c r="H35" s="11">
        <v>25</v>
      </c>
      <c r="I35" s="11">
        <v>50</v>
      </c>
      <c r="J35" s="11">
        <v>100</v>
      </c>
      <c r="K35" s="11">
        <v>200</v>
      </c>
      <c r="L35" s="11">
        <v>300</v>
      </c>
      <c r="P35"/>
      <c r="Q35"/>
      <c r="R35"/>
      <c r="S35"/>
      <c r="T35"/>
      <c r="U35"/>
      <c r="V35"/>
    </row>
    <row r="36" spans="2:22" x14ac:dyDescent="0.25">
      <c r="B36" s="11">
        <v>25</v>
      </c>
      <c r="C36" s="11">
        <v>40.5</v>
      </c>
      <c r="D36" s="11">
        <v>41.6</v>
      </c>
      <c r="E36" s="11">
        <v>43.5</v>
      </c>
      <c r="F36" s="11">
        <v>48.6</v>
      </c>
      <c r="G36" s="11">
        <v>50.2</v>
      </c>
      <c r="H36" s="11">
        <v>409.2</v>
      </c>
      <c r="I36" s="11">
        <v>437.9</v>
      </c>
      <c r="J36" s="11">
        <v>466.6</v>
      </c>
      <c r="K36" s="11">
        <v>583.6</v>
      </c>
      <c r="L36" s="11">
        <v>691.3</v>
      </c>
    </row>
    <row r="37" spans="2:22" x14ac:dyDescent="0.25">
      <c r="B37" s="11">
        <v>50</v>
      </c>
      <c r="C37" s="11">
        <v>41.1</v>
      </c>
      <c r="D37" s="11">
        <v>42.4</v>
      </c>
      <c r="E37" s="11">
        <v>44.1</v>
      </c>
      <c r="F37" s="11">
        <v>49</v>
      </c>
      <c r="G37" s="11">
        <v>51.7</v>
      </c>
      <c r="H37" s="11">
        <v>420.9</v>
      </c>
      <c r="I37" s="11">
        <v>425</v>
      </c>
      <c r="J37" s="11">
        <v>474.88</v>
      </c>
      <c r="K37" s="11">
        <v>591.20000000000005</v>
      </c>
      <c r="L37" s="11">
        <v>695.9</v>
      </c>
    </row>
    <row r="38" spans="2:22" x14ac:dyDescent="0.25">
      <c r="B38" s="11">
        <v>100</v>
      </c>
      <c r="C38" s="11">
        <v>41.8</v>
      </c>
      <c r="D38" s="11">
        <v>42.9</v>
      </c>
      <c r="E38" s="11">
        <v>44.3</v>
      </c>
      <c r="F38" s="11">
        <v>50.5</v>
      </c>
      <c r="G38" s="11">
        <v>52.1</v>
      </c>
      <c r="H38" s="11">
        <v>436.23</v>
      </c>
      <c r="I38" s="11">
        <v>426.8</v>
      </c>
      <c r="J38" s="11">
        <v>520.4</v>
      </c>
      <c r="K38" s="11">
        <v>648.6</v>
      </c>
      <c r="L38" s="11">
        <v>742.6</v>
      </c>
    </row>
    <row r="39" spans="2:22" x14ac:dyDescent="0.25">
      <c r="B39" s="11">
        <v>200</v>
      </c>
      <c r="C39" s="11">
        <v>39.6</v>
      </c>
      <c r="D39" s="11">
        <v>41.9</v>
      </c>
      <c r="E39" s="11">
        <v>43.7</v>
      </c>
      <c r="F39" s="11">
        <v>46.4</v>
      </c>
      <c r="G39" s="11">
        <v>50.4</v>
      </c>
      <c r="H39" s="11">
        <v>390.5</v>
      </c>
      <c r="I39" s="11">
        <v>392.5</v>
      </c>
      <c r="J39" s="11">
        <v>516.5</v>
      </c>
      <c r="K39" s="11">
        <v>626.70000000000005</v>
      </c>
      <c r="L39" s="11">
        <v>724.4</v>
      </c>
    </row>
    <row r="40" spans="2:22" x14ac:dyDescent="0.25">
      <c r="B40" s="11">
        <v>300</v>
      </c>
      <c r="C40" s="11">
        <v>39.4</v>
      </c>
      <c r="D40" s="11">
        <v>40.299999999999997</v>
      </c>
      <c r="E40" s="11">
        <v>40.700000000000003</v>
      </c>
      <c r="F40" s="11">
        <v>45.6</v>
      </c>
      <c r="G40" s="11">
        <v>50.1</v>
      </c>
      <c r="H40" s="11">
        <v>379.2</v>
      </c>
      <c r="I40" s="11">
        <v>395.2</v>
      </c>
      <c r="J40" s="11">
        <v>494.5</v>
      </c>
      <c r="K40" s="11">
        <v>566.87</v>
      </c>
      <c r="L40" s="11">
        <v>647.4</v>
      </c>
    </row>
    <row r="42" spans="2:22" x14ac:dyDescent="0.25">
      <c r="B42" s="11" t="s">
        <v>32</v>
      </c>
      <c r="C42" s="11">
        <v>400</v>
      </c>
      <c r="D42" s="11">
        <v>500</v>
      </c>
      <c r="E42" s="11">
        <v>600</v>
      </c>
      <c r="F42" s="11">
        <v>700</v>
      </c>
      <c r="G42" s="11">
        <v>800</v>
      </c>
      <c r="H42" s="11">
        <v>400</v>
      </c>
      <c r="I42" s="11">
        <v>500</v>
      </c>
      <c r="J42" s="11">
        <v>600</v>
      </c>
      <c r="K42" s="11">
        <v>700</v>
      </c>
      <c r="L42" s="11">
        <v>800</v>
      </c>
    </row>
    <row r="43" spans="2:22" x14ac:dyDescent="0.25">
      <c r="B43" s="11">
        <v>100</v>
      </c>
      <c r="C43" s="11">
        <v>53</v>
      </c>
      <c r="D43" s="11">
        <v>56</v>
      </c>
      <c r="E43" s="11">
        <v>56.2</v>
      </c>
      <c r="F43" s="11">
        <v>56.5</v>
      </c>
      <c r="G43" s="11">
        <v>56.9</v>
      </c>
      <c r="H43" s="11">
        <v>812.8</v>
      </c>
      <c r="I43" s="11">
        <v>860.07</v>
      </c>
      <c r="J43" s="11">
        <v>862.2</v>
      </c>
      <c r="K43" s="11">
        <v>866.8</v>
      </c>
      <c r="L43" s="11">
        <v>869.6</v>
      </c>
    </row>
  </sheetData>
  <mergeCells count="6">
    <mergeCell ref="C1:K1"/>
    <mergeCell ref="A3:A11"/>
    <mergeCell ref="C15:K15"/>
    <mergeCell ref="A17:A25"/>
    <mergeCell ref="B34:G34"/>
    <mergeCell ref="H34:L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Transpose</vt:lpstr>
      <vt:lpstr>DOE-ANOVA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 Srivastava</cp:lastModifiedBy>
  <dcterms:created xsi:type="dcterms:W3CDTF">2015-06-05T18:17:20Z</dcterms:created>
  <dcterms:modified xsi:type="dcterms:W3CDTF">2026-09-13T09:42:48Z</dcterms:modified>
</cp:coreProperties>
</file>