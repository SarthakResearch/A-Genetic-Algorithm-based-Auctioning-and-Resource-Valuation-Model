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y Drive\PhD\Contributions\4. Contribution 3 (GARV)\Revision (Continued)\H\Revision 3\New Results\"/>
    </mc:Choice>
  </mc:AlternateContent>
  <xr:revisionPtr revIDLastSave="0" documentId="13_ncr:1_{A5DF39C9-8779-4827-94CB-C9B8EFA2D516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DOE" sheetId="2" r:id="rId1"/>
    <sheet name="Statistic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  <c r="J15" i="2"/>
  <c r="O15" i="2"/>
  <c r="I15" i="2"/>
  <c r="N15" i="2"/>
  <c r="H15" i="2"/>
  <c r="M15" i="2"/>
  <c r="G15" i="2"/>
</calcChain>
</file>

<file path=xl/sharedStrings.xml><?xml version="1.0" encoding="utf-8"?>
<sst xmlns="http://schemas.openxmlformats.org/spreadsheetml/2006/main" count="98" uniqueCount="32">
  <si>
    <t>OMEGA</t>
  </si>
  <si>
    <t>CSR</t>
  </si>
  <si>
    <t>SW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</si>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</sst>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99ED-3104-4FFE-A545-D872FE2B2782}">
  <dimension ref="A1:AG17"/>
  <sheetViews>
    <sheetView tabSelected="1" topLeftCell="Q1" workbookViewId="0">
      <selection activeCell="AB25" sqref="AB25"/>
    </sheetView>
  </sheetViews>
  <sheetFormatPr defaultRowHeight="15" x14ac:dyDescent="0.25"/>
  <cols>
    <col min="19" max="19" width="19.140625" bestFit="1" customWidth="1"/>
    <col min="27" max="27" width="19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G1" s="5" t="s">
        <v>31</v>
      </c>
      <c r="H1" s="5"/>
      <c r="I1" s="5"/>
      <c r="J1" s="5"/>
      <c r="K1" s="5"/>
      <c r="L1" s="5"/>
      <c r="M1" s="5"/>
      <c r="N1" s="5"/>
      <c r="O1" s="5"/>
      <c r="P1" s="5"/>
    </row>
    <row r="2" spans="1:33" x14ac:dyDescent="0.25">
      <c r="A2" s="1">
        <v>5</v>
      </c>
      <c r="B2" s="1">
        <v>59.2</v>
      </c>
      <c r="C2" s="1">
        <v>907</v>
      </c>
      <c r="G2" s="5" t="s">
        <v>1</v>
      </c>
      <c r="H2" s="5"/>
      <c r="I2" s="5"/>
      <c r="J2" s="5"/>
      <c r="K2" s="5"/>
      <c r="M2" s="5" t="s">
        <v>2</v>
      </c>
      <c r="N2" s="5"/>
      <c r="O2" s="5"/>
      <c r="P2" s="5"/>
      <c r="Q2" s="5"/>
      <c r="S2" t="s">
        <v>3</v>
      </c>
      <c r="T2" t="s">
        <v>1</v>
      </c>
      <c r="AA2" t="s">
        <v>3</v>
      </c>
      <c r="AB2" t="s">
        <v>2</v>
      </c>
    </row>
    <row r="3" spans="1:33" x14ac:dyDescent="0.25">
      <c r="A3" s="1">
        <v>10</v>
      </c>
      <c r="B3" s="1">
        <v>59.4</v>
      </c>
      <c r="C3" s="1">
        <v>916.5</v>
      </c>
      <c r="G3">
        <v>5</v>
      </c>
      <c r="H3">
        <v>10</v>
      </c>
      <c r="I3">
        <v>20</v>
      </c>
      <c r="J3">
        <v>30</v>
      </c>
      <c r="M3">
        <v>5</v>
      </c>
      <c r="N3">
        <v>10</v>
      </c>
      <c r="O3">
        <v>20</v>
      </c>
      <c r="P3">
        <v>30</v>
      </c>
    </row>
    <row r="4" spans="1:33" ht="15.75" thickBot="1" x14ac:dyDescent="0.3">
      <c r="A4" s="1">
        <v>20</v>
      </c>
      <c r="B4" s="1">
        <v>59.1</v>
      </c>
      <c r="C4" s="1">
        <v>875.5</v>
      </c>
      <c r="F4" t="s">
        <v>21</v>
      </c>
      <c r="G4">
        <v>60</v>
      </c>
      <c r="H4">
        <v>60</v>
      </c>
      <c r="I4">
        <v>60</v>
      </c>
      <c r="J4">
        <v>59</v>
      </c>
      <c r="M4">
        <v>912.9</v>
      </c>
      <c r="N4">
        <v>931.1</v>
      </c>
      <c r="O4">
        <v>854.2</v>
      </c>
      <c r="P4">
        <v>931.6</v>
      </c>
      <c r="S4" t="s">
        <v>4</v>
      </c>
      <c r="AA4" t="s">
        <v>4</v>
      </c>
    </row>
    <row r="5" spans="1:33" x14ac:dyDescent="0.25">
      <c r="A5" s="1">
        <v>30</v>
      </c>
      <c r="B5" s="1">
        <v>59.9</v>
      </c>
      <c r="C5" s="1">
        <v>874</v>
      </c>
      <c r="F5" t="s">
        <v>22</v>
      </c>
      <c r="G5">
        <v>60</v>
      </c>
      <c r="H5">
        <v>58</v>
      </c>
      <c r="I5">
        <v>61</v>
      </c>
      <c r="J5">
        <v>60</v>
      </c>
      <c r="M5">
        <v>934.4</v>
      </c>
      <c r="N5">
        <v>927.3</v>
      </c>
      <c r="O5">
        <v>841.4</v>
      </c>
      <c r="P5">
        <v>793</v>
      </c>
      <c r="S5" s="4" t="s">
        <v>5</v>
      </c>
      <c r="T5" s="4" t="s">
        <v>6</v>
      </c>
      <c r="U5" s="4" t="s">
        <v>7</v>
      </c>
      <c r="V5" s="4" t="s">
        <v>8</v>
      </c>
      <c r="W5" s="4" t="s">
        <v>9</v>
      </c>
      <c r="AA5" s="4" t="s">
        <v>5</v>
      </c>
      <c r="AB5" s="4" t="s">
        <v>6</v>
      </c>
      <c r="AC5" s="4" t="s">
        <v>7</v>
      </c>
      <c r="AD5" s="4" t="s">
        <v>8</v>
      </c>
      <c r="AE5" s="4" t="s">
        <v>9</v>
      </c>
    </row>
    <row r="6" spans="1:33" x14ac:dyDescent="0.25">
      <c r="F6" t="s">
        <v>23</v>
      </c>
      <c r="G6">
        <v>57</v>
      </c>
      <c r="H6">
        <v>60</v>
      </c>
      <c r="I6">
        <v>57</v>
      </c>
      <c r="J6">
        <v>60</v>
      </c>
      <c r="M6">
        <v>912.2</v>
      </c>
      <c r="N6">
        <v>924.7</v>
      </c>
      <c r="O6">
        <v>892.7</v>
      </c>
      <c r="P6">
        <v>876.4</v>
      </c>
      <c r="S6" s="2">
        <v>5</v>
      </c>
      <c r="T6" s="2">
        <v>10</v>
      </c>
      <c r="U6" s="2">
        <v>592</v>
      </c>
      <c r="V6" s="2">
        <v>59.2</v>
      </c>
      <c r="W6" s="2">
        <v>1.5111111111111108</v>
      </c>
      <c r="AA6" s="2">
        <v>5</v>
      </c>
      <c r="AB6" s="2">
        <v>10</v>
      </c>
      <c r="AC6" s="2">
        <v>9070.4</v>
      </c>
      <c r="AD6" s="2">
        <v>907.04</v>
      </c>
      <c r="AE6" s="2">
        <v>1415.7404444444446</v>
      </c>
    </row>
    <row r="7" spans="1:33" x14ac:dyDescent="0.25">
      <c r="F7" t="s">
        <v>24</v>
      </c>
      <c r="G7">
        <v>58</v>
      </c>
      <c r="H7">
        <v>58</v>
      </c>
      <c r="I7">
        <v>56</v>
      </c>
      <c r="J7">
        <v>57</v>
      </c>
      <c r="M7">
        <v>965.5</v>
      </c>
      <c r="N7">
        <v>970.3</v>
      </c>
      <c r="O7">
        <v>803.8</v>
      </c>
      <c r="P7">
        <v>873.7</v>
      </c>
      <c r="S7" s="2">
        <v>10</v>
      </c>
      <c r="T7" s="2">
        <v>10</v>
      </c>
      <c r="U7" s="2">
        <v>594</v>
      </c>
      <c r="V7" s="2">
        <v>59.4</v>
      </c>
      <c r="W7" s="2">
        <v>2.0444444444444447</v>
      </c>
      <c r="AA7" s="2">
        <v>10</v>
      </c>
      <c r="AB7" s="2">
        <v>10</v>
      </c>
      <c r="AC7" s="2">
        <v>9196.8000000000011</v>
      </c>
      <c r="AD7" s="2">
        <v>919.68000000000006</v>
      </c>
      <c r="AE7" s="2">
        <v>550.69511111111024</v>
      </c>
    </row>
    <row r="8" spans="1:33" x14ac:dyDescent="0.25">
      <c r="F8" t="s">
        <v>25</v>
      </c>
      <c r="G8">
        <v>59</v>
      </c>
      <c r="H8">
        <v>60</v>
      </c>
      <c r="I8">
        <v>62</v>
      </c>
      <c r="J8">
        <v>60</v>
      </c>
      <c r="M8">
        <v>847.9</v>
      </c>
      <c r="N8">
        <v>929.4</v>
      </c>
      <c r="O8">
        <v>891.7</v>
      </c>
      <c r="P8">
        <v>823.8</v>
      </c>
      <c r="S8" s="2">
        <v>20</v>
      </c>
      <c r="T8" s="2">
        <v>10</v>
      </c>
      <c r="U8" s="2">
        <v>585</v>
      </c>
      <c r="V8" s="2">
        <v>58.5</v>
      </c>
      <c r="W8" s="2">
        <v>4.2777777777777777</v>
      </c>
      <c r="AA8" s="2">
        <v>20</v>
      </c>
      <c r="AB8" s="2">
        <v>10</v>
      </c>
      <c r="AC8" s="2">
        <v>8806.3000000000011</v>
      </c>
      <c r="AD8" s="2">
        <v>880.63000000000011</v>
      </c>
      <c r="AE8" s="2">
        <v>1518.2112222222229</v>
      </c>
    </row>
    <row r="9" spans="1:33" ht="15.75" thickBot="1" x14ac:dyDescent="0.3">
      <c r="F9" t="s">
        <v>26</v>
      </c>
      <c r="G9">
        <v>61</v>
      </c>
      <c r="H9">
        <v>61</v>
      </c>
      <c r="I9">
        <v>56</v>
      </c>
      <c r="J9">
        <v>56</v>
      </c>
      <c r="M9">
        <v>923.8</v>
      </c>
      <c r="N9">
        <v>900</v>
      </c>
      <c r="O9">
        <v>915.3</v>
      </c>
      <c r="P9">
        <v>900.3</v>
      </c>
      <c r="S9" s="3">
        <v>30</v>
      </c>
      <c r="T9" s="3">
        <v>10</v>
      </c>
      <c r="U9" s="3">
        <v>592</v>
      </c>
      <c r="V9" s="3">
        <v>59.2</v>
      </c>
      <c r="W9" s="3">
        <v>4.3999999999999995</v>
      </c>
      <c r="AA9" s="3">
        <v>30</v>
      </c>
      <c r="AB9" s="3">
        <v>10</v>
      </c>
      <c r="AC9" s="3">
        <v>8753.4</v>
      </c>
      <c r="AD9" s="3">
        <v>875.33999999999992</v>
      </c>
      <c r="AE9" s="3">
        <v>1956.6715555555561</v>
      </c>
    </row>
    <row r="10" spans="1:33" x14ac:dyDescent="0.25">
      <c r="F10" t="s">
        <v>27</v>
      </c>
      <c r="G10">
        <v>59</v>
      </c>
      <c r="H10">
        <v>58</v>
      </c>
      <c r="I10">
        <v>59</v>
      </c>
      <c r="J10">
        <v>63</v>
      </c>
      <c r="M10">
        <v>881.4</v>
      </c>
      <c r="N10">
        <v>924.2</v>
      </c>
      <c r="O10">
        <v>882.7</v>
      </c>
      <c r="P10">
        <v>898.5</v>
      </c>
    </row>
    <row r="11" spans="1:33" x14ac:dyDescent="0.25">
      <c r="F11" t="s">
        <v>28</v>
      </c>
      <c r="G11">
        <v>60</v>
      </c>
      <c r="H11">
        <v>59</v>
      </c>
      <c r="I11">
        <v>58</v>
      </c>
      <c r="J11">
        <v>61</v>
      </c>
      <c r="M11">
        <v>851.9</v>
      </c>
      <c r="N11">
        <v>903.2</v>
      </c>
      <c r="O11">
        <v>897.1</v>
      </c>
      <c r="P11">
        <v>858.8</v>
      </c>
    </row>
    <row r="12" spans="1:33" ht="15.75" thickBot="1" x14ac:dyDescent="0.3">
      <c r="F12" t="s">
        <v>29</v>
      </c>
      <c r="G12">
        <v>58</v>
      </c>
      <c r="H12">
        <v>62</v>
      </c>
      <c r="I12">
        <v>57</v>
      </c>
      <c r="J12">
        <v>57</v>
      </c>
      <c r="M12">
        <v>938.8</v>
      </c>
      <c r="N12">
        <v>896</v>
      </c>
      <c r="O12">
        <v>885.5</v>
      </c>
      <c r="P12">
        <v>933.9</v>
      </c>
      <c r="S12" t="s">
        <v>10</v>
      </c>
      <c r="AA12" t="s">
        <v>10</v>
      </c>
    </row>
    <row r="13" spans="1:33" x14ac:dyDescent="0.25">
      <c r="F13" t="s">
        <v>30</v>
      </c>
      <c r="G13">
        <v>60</v>
      </c>
      <c r="H13">
        <v>58</v>
      </c>
      <c r="I13">
        <v>59</v>
      </c>
      <c r="J13">
        <v>59</v>
      </c>
      <c r="M13">
        <v>901.6</v>
      </c>
      <c r="N13">
        <v>890.6</v>
      </c>
      <c r="O13">
        <v>941.9</v>
      </c>
      <c r="P13">
        <v>863.4</v>
      </c>
      <c r="S13" s="4" t="s">
        <v>11</v>
      </c>
      <c r="T13" s="4" t="s">
        <v>12</v>
      </c>
      <c r="U13" s="4" t="s">
        <v>13</v>
      </c>
      <c r="V13" s="4" t="s">
        <v>14</v>
      </c>
      <c r="W13" s="4" t="s">
        <v>15</v>
      </c>
      <c r="X13" s="4" t="s">
        <v>16</v>
      </c>
      <c r="Y13" s="4" t="s">
        <v>17</v>
      </c>
      <c r="AA13" s="4" t="s">
        <v>11</v>
      </c>
      <c r="AB13" s="4" t="s">
        <v>12</v>
      </c>
      <c r="AC13" s="4" t="s">
        <v>13</v>
      </c>
      <c r="AD13" s="4" t="s">
        <v>14</v>
      </c>
      <c r="AE13" s="4" t="s">
        <v>15</v>
      </c>
      <c r="AF13" s="4" t="s">
        <v>16</v>
      </c>
      <c r="AG13" s="4" t="s">
        <v>17</v>
      </c>
    </row>
    <row r="14" spans="1:33" x14ac:dyDescent="0.25">
      <c r="S14" s="2" t="s">
        <v>18</v>
      </c>
      <c r="T14" s="2">
        <v>4.6749999999999261</v>
      </c>
      <c r="U14" s="2">
        <v>3</v>
      </c>
      <c r="V14" s="2">
        <v>1.5583333333333087</v>
      </c>
      <c r="W14" s="2">
        <v>0.50953678474113639</v>
      </c>
      <c r="X14" s="2">
        <v>0.67823031197990846</v>
      </c>
      <c r="Y14" s="2">
        <v>2.8662655509401795</v>
      </c>
      <c r="AA14" s="2" t="s">
        <v>18</v>
      </c>
      <c r="AB14" s="2">
        <v>13452.674750000006</v>
      </c>
      <c r="AC14" s="2">
        <v>3</v>
      </c>
      <c r="AD14" s="2">
        <v>4484.2249166666688</v>
      </c>
      <c r="AE14" s="2">
        <v>3.2964253454509049</v>
      </c>
      <c r="AF14" s="2">
        <v>3.127976154525209E-2</v>
      </c>
      <c r="AG14" s="2">
        <v>2.8662655509401795</v>
      </c>
    </row>
    <row r="15" spans="1:33" x14ac:dyDescent="0.25">
      <c r="G15">
        <f>AVERAGE(G4:G13)</f>
        <v>59.2</v>
      </c>
      <c r="H15">
        <f>AVERAGE(H4:H13)</f>
        <v>59.4</v>
      </c>
      <c r="I15">
        <f>AVERAGE(I4:I13)</f>
        <v>58.5</v>
      </c>
      <c r="J15">
        <f>AVERAGE(J4:J13)</f>
        <v>59.2</v>
      </c>
      <c r="M15">
        <f>AVERAGE(M4:M13)</f>
        <v>907.04</v>
      </c>
      <c r="N15">
        <f>AVERAGE(N4:N13)</f>
        <v>919.68000000000006</v>
      </c>
      <c r="O15">
        <f>AVERAGE(O4:O13)</f>
        <v>880.63000000000011</v>
      </c>
      <c r="P15">
        <f>AVERAGE(P4:P13)</f>
        <v>875.33999999999992</v>
      </c>
      <c r="S15" s="2" t="s">
        <v>19</v>
      </c>
      <c r="T15" s="2">
        <v>110.1</v>
      </c>
      <c r="U15" s="2">
        <v>36</v>
      </c>
      <c r="V15" s="2">
        <v>3.0583333333333331</v>
      </c>
      <c r="W15" s="2"/>
      <c r="X15" s="2"/>
      <c r="Y15" s="2"/>
      <c r="AA15" s="2" t="s">
        <v>19</v>
      </c>
      <c r="AB15" s="2">
        <v>48971.865000000005</v>
      </c>
      <c r="AC15" s="2">
        <v>36</v>
      </c>
      <c r="AD15" s="2">
        <v>1360.3295833333334</v>
      </c>
      <c r="AE15" s="2"/>
      <c r="AF15" s="2"/>
      <c r="AG15" s="2"/>
    </row>
    <row r="16" spans="1:33" x14ac:dyDescent="0.25">
      <c r="S16" s="2"/>
      <c r="T16" s="2"/>
      <c r="U16" s="2"/>
      <c r="V16" s="2"/>
      <c r="W16" s="2"/>
      <c r="X16" s="2"/>
      <c r="Y16" s="2"/>
      <c r="AA16" s="2"/>
      <c r="AB16" s="2"/>
      <c r="AC16" s="2"/>
      <c r="AD16" s="2"/>
      <c r="AE16" s="2"/>
      <c r="AF16" s="2"/>
      <c r="AG16" s="2"/>
    </row>
    <row r="17" spans="19:33" ht="15.75" thickBot="1" x14ac:dyDescent="0.3">
      <c r="S17" s="3" t="s">
        <v>20</v>
      </c>
      <c r="T17" s="3">
        <v>114.77499999999992</v>
      </c>
      <c r="U17" s="3">
        <v>39</v>
      </c>
      <c r="V17" s="3"/>
      <c r="W17" s="3"/>
      <c r="X17" s="3"/>
      <c r="Y17" s="3"/>
      <c r="AA17" s="3" t="s">
        <v>20</v>
      </c>
      <c r="AB17" s="3">
        <v>62424.539750000011</v>
      </c>
      <c r="AC17" s="3">
        <v>39</v>
      </c>
      <c r="AD17" s="3"/>
      <c r="AE17" s="3"/>
      <c r="AF17" s="3"/>
      <c r="AG17" s="3"/>
    </row>
  </sheetData>
  <mergeCells count="3">
    <mergeCell ref="G1:P1"/>
    <mergeCell ref="G2:K2"/>
    <mergeCell ref="M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>
      <selection activeCell="Q25" sqref="Q25"/>
    </sheetView>
  </sheetViews>
  <sheetFormatPr defaultRowHeight="15" x14ac:dyDescent="0.25"/>
  <cols>
    <col min="4" max="4" width="19.140625" bestFit="1" customWidth="1"/>
    <col min="15" max="15" width="19.140625" bestFit="1" customWidth="1"/>
  </cols>
  <sheetData>
    <row r="1" spans="1:21" x14ac:dyDescent="0.25">
      <c r="A1" s="1" t="s">
        <v>0</v>
      </c>
      <c r="B1" s="1" t="s">
        <v>1</v>
      </c>
      <c r="D1" t="s">
        <v>3</v>
      </c>
      <c r="L1" s="1" t="s">
        <v>0</v>
      </c>
      <c r="M1" s="1" t="s">
        <v>2</v>
      </c>
      <c r="O1" t="s">
        <v>3</v>
      </c>
    </row>
    <row r="2" spans="1:21" x14ac:dyDescent="0.25">
      <c r="A2" s="1">
        <v>5</v>
      </c>
      <c r="B2" s="1">
        <v>58.7</v>
      </c>
      <c r="L2" s="1">
        <v>5</v>
      </c>
      <c r="M2" s="1">
        <v>907</v>
      </c>
    </row>
    <row r="3" spans="1:21" ht="15.75" thickBot="1" x14ac:dyDescent="0.3">
      <c r="A3" s="1">
        <v>10</v>
      </c>
      <c r="B3" s="1">
        <v>59.4</v>
      </c>
      <c r="D3" t="s">
        <v>4</v>
      </c>
      <c r="L3" s="1">
        <v>10</v>
      </c>
      <c r="M3" s="1">
        <v>916.5</v>
      </c>
      <c r="O3" t="s">
        <v>4</v>
      </c>
    </row>
    <row r="4" spans="1:21" x14ac:dyDescent="0.25">
      <c r="A4" s="1">
        <v>20</v>
      </c>
      <c r="B4" s="1">
        <v>59.1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L4" s="1">
        <v>20</v>
      </c>
      <c r="M4" s="1">
        <v>875.5</v>
      </c>
      <c r="O4" s="4" t="s">
        <v>5</v>
      </c>
      <c r="P4" s="4" t="s">
        <v>6</v>
      </c>
      <c r="Q4" s="4" t="s">
        <v>7</v>
      </c>
      <c r="R4" s="4" t="s">
        <v>8</v>
      </c>
      <c r="S4" s="4" t="s">
        <v>9</v>
      </c>
    </row>
    <row r="5" spans="1:21" x14ac:dyDescent="0.25">
      <c r="A5" s="1">
        <v>30</v>
      </c>
      <c r="B5" s="1">
        <v>59.9</v>
      </c>
      <c r="D5" s="2" t="s">
        <v>0</v>
      </c>
      <c r="E5" s="2">
        <v>4</v>
      </c>
      <c r="F5" s="2">
        <v>65</v>
      </c>
      <c r="G5" s="2">
        <v>16.25</v>
      </c>
      <c r="H5" s="2">
        <v>122.91666666666667</v>
      </c>
      <c r="L5" s="1">
        <v>30</v>
      </c>
      <c r="M5" s="1">
        <v>874</v>
      </c>
      <c r="O5" s="2" t="s">
        <v>0</v>
      </c>
      <c r="P5" s="2">
        <v>4</v>
      </c>
      <c r="Q5" s="2">
        <v>65</v>
      </c>
      <c r="R5" s="2">
        <v>16.25</v>
      </c>
      <c r="S5" s="2">
        <v>122.91666666666667</v>
      </c>
    </row>
    <row r="6" spans="1:21" ht="15.75" thickBot="1" x14ac:dyDescent="0.3">
      <c r="D6" s="3" t="s">
        <v>1</v>
      </c>
      <c r="E6" s="3">
        <v>4</v>
      </c>
      <c r="F6" s="3">
        <v>237.1</v>
      </c>
      <c r="G6" s="3">
        <v>59.274999999999999</v>
      </c>
      <c r="H6" s="3">
        <v>0.25583333333333136</v>
      </c>
      <c r="O6" s="3" t="s">
        <v>2</v>
      </c>
      <c r="P6" s="3">
        <v>4</v>
      </c>
      <c r="Q6" s="3">
        <v>3572</v>
      </c>
      <c r="R6" s="3">
        <v>893</v>
      </c>
      <c r="S6" s="3">
        <v>456.5</v>
      </c>
    </row>
    <row r="9" spans="1:21" ht="15.75" thickBot="1" x14ac:dyDescent="0.3">
      <c r="D9" t="s">
        <v>10</v>
      </c>
      <c r="O9" t="s">
        <v>10</v>
      </c>
    </row>
    <row r="10" spans="1:21" x14ac:dyDescent="0.25"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O10" s="4" t="s">
        <v>11</v>
      </c>
      <c r="P10" s="4" t="s">
        <v>12</v>
      </c>
      <c r="Q10" s="4" t="s">
        <v>13</v>
      </c>
      <c r="R10" s="4" t="s">
        <v>14</v>
      </c>
      <c r="S10" s="4" t="s">
        <v>15</v>
      </c>
      <c r="T10" s="4" t="s">
        <v>16</v>
      </c>
      <c r="U10" s="4" t="s">
        <v>17</v>
      </c>
    </row>
    <row r="11" spans="1:21" x14ac:dyDescent="0.25">
      <c r="D11" s="2" t="s">
        <v>18</v>
      </c>
      <c r="E11" s="2">
        <v>3702.30125</v>
      </c>
      <c r="F11" s="2">
        <v>1</v>
      </c>
      <c r="G11" s="2">
        <v>3702.30125</v>
      </c>
      <c r="H11" s="2">
        <v>60.115711705128987</v>
      </c>
      <c r="I11" s="2">
        <v>2.4196553734138411E-4</v>
      </c>
      <c r="J11" s="2">
        <v>5.9873776072737011</v>
      </c>
      <c r="O11" s="2" t="s">
        <v>18</v>
      </c>
      <c r="P11" s="2">
        <v>1537381.125</v>
      </c>
      <c r="Q11" s="2">
        <v>1</v>
      </c>
      <c r="R11" s="2">
        <v>1537381.125</v>
      </c>
      <c r="S11" s="2">
        <v>5306.6513735078388</v>
      </c>
      <c r="T11" s="2">
        <v>4.5035380563728191E-10</v>
      </c>
      <c r="U11" s="2">
        <v>5.9873776072737011</v>
      </c>
    </row>
    <row r="12" spans="1:21" x14ac:dyDescent="0.25">
      <c r="D12" s="2" t="s">
        <v>19</v>
      </c>
      <c r="E12" s="2">
        <v>369.51749999999998</v>
      </c>
      <c r="F12" s="2">
        <v>6</v>
      </c>
      <c r="G12" s="2">
        <v>61.58625</v>
      </c>
      <c r="H12" s="2"/>
      <c r="I12" s="2"/>
      <c r="J12" s="2"/>
      <c r="O12" s="2" t="s">
        <v>19</v>
      </c>
      <c r="P12" s="2">
        <v>1738.25</v>
      </c>
      <c r="Q12" s="2">
        <v>6</v>
      </c>
      <c r="R12" s="2">
        <v>289.70833333333331</v>
      </c>
      <c r="S12" s="2"/>
      <c r="T12" s="2"/>
      <c r="U12" s="2"/>
    </row>
    <row r="13" spans="1:21" x14ac:dyDescent="0.25">
      <c r="D13" s="2"/>
      <c r="E13" s="2"/>
      <c r="F13" s="2"/>
      <c r="G13" s="2"/>
      <c r="H13" s="2"/>
      <c r="I13" s="2"/>
      <c r="J13" s="2"/>
      <c r="O13" s="2"/>
      <c r="P13" s="2"/>
      <c r="Q13" s="2"/>
      <c r="R13" s="2"/>
      <c r="S13" s="2"/>
      <c r="T13" s="2"/>
      <c r="U13" s="2"/>
    </row>
    <row r="14" spans="1:21" ht="15.75" thickBot="1" x14ac:dyDescent="0.3">
      <c r="D14" s="3" t="s">
        <v>20</v>
      </c>
      <c r="E14" s="3">
        <v>4071.8187499999999</v>
      </c>
      <c r="F14" s="3">
        <v>7</v>
      </c>
      <c r="G14" s="3"/>
      <c r="H14" s="3"/>
      <c r="I14" s="3"/>
      <c r="J14" s="3"/>
      <c r="O14" s="3" t="s">
        <v>20</v>
      </c>
      <c r="P14" s="3">
        <v>1539119.375</v>
      </c>
      <c r="Q14" s="3">
        <v>7</v>
      </c>
      <c r="R14" s="3"/>
      <c r="S14" s="3"/>
      <c r="T14" s="3"/>
      <c r="U14" s="3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DOE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 Srivastava</cp:lastModifiedBy>
  <dcterms:created xsi:type="dcterms:W3CDTF">2015-06-05T18:17:20Z</dcterms:created>
  <dcterms:modified xsi:type="dcterms:W3CDTF">2026-09-08T07:57:17Z</dcterms:modified>
</cp:coreProperties>
</file>