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y Drive\PhD\Contributions\4. Contribution 3 (GARV)\Revision 2\H\Revision 2\Results\Secondary Parameter tuning\"/>
    </mc:Choice>
  </mc:AlternateContent>
  <xr:revisionPtr revIDLastSave="0" documentId="13_ncr:1_{4DAA918B-5D13-4987-811A-9E57B483194F}" xr6:coauthVersionLast="47" xr6:coauthVersionMax="47" xr10:uidLastSave="{00000000-0000-0000-0000-000000000000}"/>
  <bookViews>
    <workbookView xWindow="25500" yWindow="0" windowWidth="13005" windowHeight="20985" activeTab="2" xr2:uid="{00000000-000D-0000-FFFF-FFFF00000000}"/>
  </bookViews>
  <sheets>
    <sheet name="Crossover" sheetId="1" r:id="rId1"/>
    <sheet name="Mutation" sheetId="2" r:id="rId2"/>
    <sheet name="Tourna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F15" i="2"/>
  <c r="B15" i="1"/>
  <c r="I15" i="1"/>
  <c r="J15" i="1"/>
  <c r="K15" i="1"/>
  <c r="L15" i="1"/>
  <c r="H15" i="1"/>
  <c r="N15" i="3"/>
  <c r="G15" i="3"/>
  <c r="M15" i="3"/>
  <c r="F15" i="3"/>
  <c r="J15" i="3" l="1"/>
  <c r="K15" i="3"/>
  <c r="L15" i="3"/>
  <c r="I15" i="3"/>
  <c r="C15" i="3"/>
  <c r="D15" i="3"/>
  <c r="E15" i="3"/>
  <c r="B15" i="3"/>
  <c r="K15" i="2"/>
  <c r="J15" i="2"/>
  <c r="I15" i="2"/>
  <c r="H15" i="2"/>
  <c r="E15" i="2"/>
  <c r="D15" i="2"/>
  <c r="C15" i="2"/>
  <c r="B15" i="2"/>
  <c r="D15" i="1"/>
  <c r="E15" i="1"/>
  <c r="F15" i="1"/>
  <c r="C15" i="1"/>
</calcChain>
</file>

<file path=xl/sharedStrings.xml><?xml version="1.0" encoding="utf-8"?>
<sst xmlns="http://schemas.openxmlformats.org/spreadsheetml/2006/main" count="155" uniqueCount="33">
  <si>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</si>
  <si>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</si>
  <si>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</si>
  <si>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</si>
  <si>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</si>
  <si>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</si>
  <si>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</si>
  <si>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</si>
  <si>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</si>
  <si>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</si>
  <si>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Crossover</t>
  </si>
  <si>
    <t>CSR</t>
  </si>
  <si>
    <t>SW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</si>
  <si>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</si>
  <si>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</si>
  <si>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</si>
  <si>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</si>
  <si>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</si>
  <si>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</si>
  <si>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</si>
  <si>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</si>
  <si>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</si>
  <si>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</si>
  <si>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</si>
  <si>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</si>
  <si>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</si>
  <si>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</si>
  <si>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</si>
  <si>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</si>
  <si>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</si>
  <si>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</si>
  <si>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Mutation</t>
  </si>
  <si>
    <t>Tournament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</si>
</sst>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opLeftCell="H1" workbookViewId="0">
      <selection activeCell="O53" sqref="O53"/>
    </sheetView>
  </sheetViews>
  <sheetFormatPr defaultRowHeight="15" x14ac:dyDescent="0.25"/>
  <cols>
    <col min="16" max="16" width="19.140625" bestFit="1" customWidth="1"/>
  </cols>
  <sheetData>
    <row r="1" spans="1:22" x14ac:dyDescent="0.25">
      <c r="C1" s="4" t="s">
        <v>10</v>
      </c>
      <c r="D1" s="4"/>
      <c r="E1" s="4"/>
      <c r="F1" s="4"/>
      <c r="G1" s="4"/>
      <c r="H1" s="4"/>
      <c r="I1" s="4"/>
      <c r="J1" s="4"/>
      <c r="K1" s="4"/>
      <c r="L1" s="4"/>
      <c r="P1" s="4" t="s">
        <v>10</v>
      </c>
      <c r="Q1" s="4"/>
      <c r="R1" s="4"/>
      <c r="S1" s="4"/>
      <c r="T1" s="4"/>
      <c r="U1" s="4"/>
      <c r="V1" s="4"/>
    </row>
    <row r="2" spans="1:22" x14ac:dyDescent="0.25">
      <c r="B2" s="4" t="s">
        <v>11</v>
      </c>
      <c r="C2" s="4"/>
      <c r="D2" s="4"/>
      <c r="E2" s="4"/>
      <c r="F2" s="4"/>
      <c r="G2" s="1"/>
      <c r="H2" s="4" t="s">
        <v>12</v>
      </c>
      <c r="I2" s="4"/>
      <c r="J2" s="4"/>
      <c r="K2" s="4"/>
      <c r="L2" s="4"/>
      <c r="P2" t="s">
        <v>13</v>
      </c>
      <c r="Q2" t="s">
        <v>11</v>
      </c>
    </row>
    <row r="3" spans="1:22" x14ac:dyDescent="0.25">
      <c r="B3">
        <v>0.5</v>
      </c>
      <c r="C3">
        <v>0.6</v>
      </c>
      <c r="D3">
        <v>0.7</v>
      </c>
      <c r="E3">
        <v>0.8</v>
      </c>
      <c r="F3">
        <v>0.9</v>
      </c>
      <c r="H3">
        <v>0.5</v>
      </c>
      <c r="I3">
        <v>0.6</v>
      </c>
      <c r="J3">
        <v>0.7</v>
      </c>
      <c r="K3">
        <v>0.8</v>
      </c>
      <c r="L3">
        <v>0.9</v>
      </c>
    </row>
    <row r="4" spans="1:22" ht="15.75" thickBot="1" x14ac:dyDescent="0.3">
      <c r="A4" t="s">
        <v>0</v>
      </c>
      <c r="B4">
        <v>54</v>
      </c>
      <c r="C4">
        <v>58</v>
      </c>
      <c r="D4">
        <v>62</v>
      </c>
      <c r="E4">
        <v>56</v>
      </c>
      <c r="F4">
        <v>56</v>
      </c>
      <c r="H4">
        <v>891.4</v>
      </c>
      <c r="I4">
        <v>866.9</v>
      </c>
      <c r="J4">
        <v>746.2</v>
      </c>
      <c r="K4">
        <v>814.8</v>
      </c>
      <c r="L4">
        <v>712.9</v>
      </c>
      <c r="P4" t="s">
        <v>14</v>
      </c>
    </row>
    <row r="5" spans="1:22" x14ac:dyDescent="0.25">
      <c r="A5" t="s">
        <v>1</v>
      </c>
      <c r="B5">
        <v>55</v>
      </c>
      <c r="C5">
        <v>57</v>
      </c>
      <c r="D5">
        <v>56</v>
      </c>
      <c r="E5">
        <v>54</v>
      </c>
      <c r="F5">
        <v>54</v>
      </c>
      <c r="H5">
        <v>794.1</v>
      </c>
      <c r="I5">
        <v>916.4</v>
      </c>
      <c r="J5">
        <v>816.5</v>
      </c>
      <c r="K5">
        <v>860.7</v>
      </c>
      <c r="L5">
        <v>805.3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</row>
    <row r="6" spans="1:22" x14ac:dyDescent="0.25">
      <c r="A6" t="s">
        <v>2</v>
      </c>
      <c r="B6">
        <v>56</v>
      </c>
      <c r="C6">
        <v>61</v>
      </c>
      <c r="D6">
        <v>58</v>
      </c>
      <c r="E6">
        <v>57</v>
      </c>
      <c r="F6">
        <v>49</v>
      </c>
      <c r="H6">
        <v>873.1</v>
      </c>
      <c r="I6">
        <v>705.5</v>
      </c>
      <c r="J6">
        <v>834.5</v>
      </c>
      <c r="K6">
        <v>879.9</v>
      </c>
      <c r="L6">
        <v>831</v>
      </c>
      <c r="P6">
        <v>0.5</v>
      </c>
      <c r="Q6">
        <v>10</v>
      </c>
      <c r="R6">
        <v>554</v>
      </c>
      <c r="S6">
        <v>55.4</v>
      </c>
      <c r="T6">
        <v>2.4888888888888889</v>
      </c>
    </row>
    <row r="7" spans="1:22" x14ac:dyDescent="0.25">
      <c r="A7" t="s">
        <v>3</v>
      </c>
      <c r="B7">
        <v>57</v>
      </c>
      <c r="C7">
        <v>59</v>
      </c>
      <c r="D7">
        <v>58</v>
      </c>
      <c r="E7">
        <v>52</v>
      </c>
      <c r="F7">
        <v>55</v>
      </c>
      <c r="H7">
        <v>824.4</v>
      </c>
      <c r="I7">
        <v>858.2</v>
      </c>
      <c r="J7">
        <v>882.9</v>
      </c>
      <c r="K7">
        <v>860.2</v>
      </c>
      <c r="L7">
        <v>834</v>
      </c>
      <c r="P7">
        <v>0.6</v>
      </c>
      <c r="Q7">
        <v>10</v>
      </c>
      <c r="R7">
        <v>571</v>
      </c>
      <c r="S7">
        <v>57.1</v>
      </c>
      <c r="T7">
        <v>6.988888888888888</v>
      </c>
    </row>
    <row r="8" spans="1:22" x14ac:dyDescent="0.25">
      <c r="A8" t="s">
        <v>4</v>
      </c>
      <c r="B8">
        <v>54</v>
      </c>
      <c r="C8">
        <v>55</v>
      </c>
      <c r="D8">
        <v>48</v>
      </c>
      <c r="E8">
        <v>51</v>
      </c>
      <c r="F8">
        <v>57</v>
      </c>
      <c r="H8">
        <v>878.1</v>
      </c>
      <c r="I8">
        <v>806.5</v>
      </c>
      <c r="J8">
        <v>837.8</v>
      </c>
      <c r="K8">
        <v>847.7</v>
      </c>
      <c r="L8">
        <v>796.9</v>
      </c>
      <c r="P8">
        <v>0.7</v>
      </c>
      <c r="Q8">
        <v>10</v>
      </c>
      <c r="R8">
        <v>569</v>
      </c>
      <c r="S8">
        <v>56.9</v>
      </c>
      <c r="T8">
        <v>12.988888888888892</v>
      </c>
    </row>
    <row r="9" spans="1:22" x14ac:dyDescent="0.25">
      <c r="A9" t="s">
        <v>5</v>
      </c>
      <c r="B9">
        <v>55</v>
      </c>
      <c r="C9">
        <v>54</v>
      </c>
      <c r="D9">
        <v>56</v>
      </c>
      <c r="E9">
        <v>53</v>
      </c>
      <c r="F9">
        <v>53</v>
      </c>
      <c r="H9">
        <v>845.2</v>
      </c>
      <c r="I9">
        <v>878.7</v>
      </c>
      <c r="J9">
        <v>878.3</v>
      </c>
      <c r="K9">
        <v>756.9</v>
      </c>
      <c r="L9">
        <v>833.4</v>
      </c>
      <c r="P9">
        <v>0.8</v>
      </c>
      <c r="Q9">
        <v>10</v>
      </c>
      <c r="R9">
        <v>557</v>
      </c>
      <c r="S9">
        <v>55.7</v>
      </c>
      <c r="T9">
        <v>11.78888888888889</v>
      </c>
    </row>
    <row r="10" spans="1:22" ht="15.75" thickBot="1" x14ac:dyDescent="0.3">
      <c r="A10" t="s">
        <v>6</v>
      </c>
      <c r="B10">
        <v>58</v>
      </c>
      <c r="C10">
        <v>57</v>
      </c>
      <c r="D10">
        <v>59</v>
      </c>
      <c r="E10">
        <v>55</v>
      </c>
      <c r="F10">
        <v>55</v>
      </c>
      <c r="H10">
        <v>853.6</v>
      </c>
      <c r="I10">
        <v>860.6</v>
      </c>
      <c r="J10">
        <v>860.7</v>
      </c>
      <c r="K10">
        <v>917.4</v>
      </c>
      <c r="L10">
        <v>744.6</v>
      </c>
      <c r="P10" s="2">
        <v>0.9</v>
      </c>
      <c r="Q10" s="2">
        <v>10</v>
      </c>
      <c r="R10" s="2">
        <v>546</v>
      </c>
      <c r="S10" s="2">
        <v>54.6</v>
      </c>
      <c r="T10" s="2">
        <v>6.4888888888888872</v>
      </c>
    </row>
    <row r="11" spans="1:22" x14ac:dyDescent="0.25">
      <c r="A11" t="s">
        <v>7</v>
      </c>
      <c r="B11">
        <v>55</v>
      </c>
      <c r="C11">
        <v>61</v>
      </c>
      <c r="D11">
        <v>58</v>
      </c>
      <c r="E11">
        <v>61</v>
      </c>
      <c r="F11">
        <v>53</v>
      </c>
      <c r="H11">
        <v>795.2</v>
      </c>
      <c r="I11">
        <v>831.7</v>
      </c>
      <c r="J11">
        <v>733.1</v>
      </c>
      <c r="K11">
        <v>771.2</v>
      </c>
      <c r="L11">
        <v>586</v>
      </c>
    </row>
    <row r="12" spans="1:22" x14ac:dyDescent="0.25">
      <c r="A12" t="s">
        <v>8</v>
      </c>
      <c r="B12">
        <v>57</v>
      </c>
      <c r="C12">
        <v>55</v>
      </c>
      <c r="D12">
        <v>58</v>
      </c>
      <c r="E12">
        <v>57</v>
      </c>
      <c r="F12">
        <v>56</v>
      </c>
      <c r="H12">
        <v>849.3</v>
      </c>
      <c r="I12">
        <v>850.2</v>
      </c>
      <c r="J12">
        <v>789.4</v>
      </c>
      <c r="K12">
        <v>809.3</v>
      </c>
      <c r="L12">
        <v>764.1</v>
      </c>
    </row>
    <row r="13" spans="1:22" ht="15.75" thickBot="1" x14ac:dyDescent="0.3">
      <c r="A13" t="s">
        <v>9</v>
      </c>
      <c r="B13">
        <v>53</v>
      </c>
      <c r="C13">
        <v>54</v>
      </c>
      <c r="D13">
        <v>56</v>
      </c>
      <c r="E13">
        <v>61</v>
      </c>
      <c r="F13">
        <v>58</v>
      </c>
      <c r="H13">
        <v>852.2</v>
      </c>
      <c r="I13">
        <v>905</v>
      </c>
      <c r="J13">
        <v>843.4</v>
      </c>
      <c r="K13">
        <v>789.7</v>
      </c>
      <c r="L13">
        <v>849.7</v>
      </c>
      <c r="P13" t="s">
        <v>20</v>
      </c>
    </row>
    <row r="14" spans="1:22" x14ac:dyDescent="0.25">
      <c r="P14" s="3" t="s">
        <v>21</v>
      </c>
      <c r="Q14" s="3" t="s">
        <v>22</v>
      </c>
      <c r="R14" s="3" t="s">
        <v>23</v>
      </c>
      <c r="S14" s="3" t="s">
        <v>24</v>
      </c>
      <c r="T14" s="3" t="s">
        <v>25</v>
      </c>
      <c r="U14" s="3" t="s">
        <v>26</v>
      </c>
      <c r="V14" s="3" t="s">
        <v>27</v>
      </c>
    </row>
    <row r="15" spans="1:22" x14ac:dyDescent="0.25">
      <c r="B15">
        <f>AVERAGE(B4:B13)</f>
        <v>55.4</v>
      </c>
      <c r="C15">
        <f>AVERAGE(C4:C13)</f>
        <v>57.1</v>
      </c>
      <c r="D15">
        <f t="shared" ref="D15:F15" si="0">AVERAGE(D4:D13)</f>
        <v>56.9</v>
      </c>
      <c r="E15">
        <f t="shared" si="0"/>
        <v>55.7</v>
      </c>
      <c r="F15">
        <f t="shared" si="0"/>
        <v>54.6</v>
      </c>
      <c r="H15">
        <f>AVERAGE(H4:H13)</f>
        <v>845.66000000000008</v>
      </c>
      <c r="I15">
        <f t="shared" ref="I15:L15" si="1">AVERAGE(I4:I13)</f>
        <v>847.97</v>
      </c>
      <c r="J15">
        <f t="shared" si="1"/>
        <v>822.28</v>
      </c>
      <c r="K15">
        <f t="shared" si="1"/>
        <v>830.78</v>
      </c>
      <c r="L15">
        <f t="shared" si="1"/>
        <v>775.79000000000008</v>
      </c>
      <c r="P15" t="s">
        <v>28</v>
      </c>
      <c r="Q15">
        <v>44.120000000000118</v>
      </c>
      <c r="R15">
        <v>4</v>
      </c>
      <c r="S15">
        <v>11.03000000000003</v>
      </c>
      <c r="T15">
        <v>1.3535587673847869</v>
      </c>
      <c r="U15">
        <v>0.26509527734688537</v>
      </c>
      <c r="V15">
        <v>2.5787391843115586</v>
      </c>
    </row>
    <row r="16" spans="1:22" x14ac:dyDescent="0.25">
      <c r="P16" t="s">
        <v>29</v>
      </c>
      <c r="Q16">
        <v>366.70000000000005</v>
      </c>
      <c r="R16">
        <v>45</v>
      </c>
      <c r="S16">
        <v>8.1488888888888891</v>
      </c>
    </row>
    <row r="18" spans="16:22" ht="15.75" thickBot="1" x14ac:dyDescent="0.3">
      <c r="P18" s="2" t="s">
        <v>30</v>
      </c>
      <c r="Q18" s="2">
        <v>410.82000000000016</v>
      </c>
      <c r="R18" s="2">
        <v>49</v>
      </c>
      <c r="S18" s="2"/>
      <c r="T18" s="2"/>
      <c r="U18" s="2"/>
      <c r="V18" s="2"/>
    </row>
    <row r="21" spans="16:22" x14ac:dyDescent="0.25">
      <c r="P21" t="s">
        <v>13</v>
      </c>
      <c r="Q21" t="s">
        <v>12</v>
      </c>
    </row>
    <row r="23" spans="16:22" ht="15.75" thickBot="1" x14ac:dyDescent="0.3">
      <c r="P23" t="s">
        <v>14</v>
      </c>
    </row>
    <row r="24" spans="16:22" x14ac:dyDescent="0.25">
      <c r="P24" s="3" t="s">
        <v>15</v>
      </c>
      <c r="Q24" s="3" t="s">
        <v>16</v>
      </c>
      <c r="R24" s="3" t="s">
        <v>17</v>
      </c>
      <c r="S24" s="3" t="s">
        <v>18</v>
      </c>
      <c r="T24" s="3" t="s">
        <v>19</v>
      </c>
    </row>
    <row r="25" spans="16:22" x14ac:dyDescent="0.25">
      <c r="P25">
        <v>0.5</v>
      </c>
      <c r="Q25">
        <v>10</v>
      </c>
      <c r="R25">
        <v>8456.6</v>
      </c>
      <c r="S25">
        <v>845.66000000000008</v>
      </c>
      <c r="T25">
        <v>1074.8182222222217</v>
      </c>
    </row>
    <row r="26" spans="16:22" x14ac:dyDescent="0.25">
      <c r="P26">
        <v>0.6</v>
      </c>
      <c r="Q26">
        <v>10</v>
      </c>
      <c r="R26">
        <v>8479.7000000000007</v>
      </c>
      <c r="S26">
        <v>847.97</v>
      </c>
      <c r="T26">
        <v>3532.1201111111109</v>
      </c>
    </row>
    <row r="27" spans="16:22" x14ac:dyDescent="0.25">
      <c r="P27">
        <v>0.7</v>
      </c>
      <c r="Q27">
        <v>10</v>
      </c>
      <c r="R27">
        <v>8222.7999999999993</v>
      </c>
      <c r="S27">
        <v>822.28</v>
      </c>
      <c r="T27">
        <v>2664.5684444444428</v>
      </c>
    </row>
    <row r="28" spans="16:22" x14ac:dyDescent="0.25">
      <c r="P28">
        <v>0.8</v>
      </c>
      <c r="Q28">
        <v>10</v>
      </c>
      <c r="R28">
        <v>8307.7999999999993</v>
      </c>
      <c r="S28">
        <v>830.78</v>
      </c>
      <c r="T28">
        <v>2597.2417777777773</v>
      </c>
    </row>
    <row r="29" spans="16:22" ht="15.75" thickBot="1" x14ac:dyDescent="0.3">
      <c r="P29" s="2">
        <v>0.9</v>
      </c>
      <c r="Q29" s="2">
        <v>10</v>
      </c>
      <c r="R29" s="2">
        <v>7757.9000000000005</v>
      </c>
      <c r="S29" s="2">
        <v>775.79000000000008</v>
      </c>
      <c r="T29" s="2">
        <v>6402.1654444444448</v>
      </c>
    </row>
    <row r="32" spans="16:22" ht="15.75" thickBot="1" x14ac:dyDescent="0.3">
      <c r="P32" t="s">
        <v>20</v>
      </c>
    </row>
    <row r="33" spans="16:22" x14ac:dyDescent="0.25">
      <c r="P33" s="3" t="s">
        <v>21</v>
      </c>
      <c r="Q33" s="3" t="s">
        <v>22</v>
      </c>
      <c r="R33" s="3" t="s">
        <v>23</v>
      </c>
      <c r="S33" s="3" t="s">
        <v>24</v>
      </c>
      <c r="T33" s="3" t="s">
        <v>25</v>
      </c>
      <c r="U33" s="3" t="s">
        <v>26</v>
      </c>
      <c r="V33" s="3" t="s">
        <v>27</v>
      </c>
    </row>
    <row r="34" spans="16:22" x14ac:dyDescent="0.25">
      <c r="P34" t="s">
        <v>28</v>
      </c>
      <c r="Q34">
        <v>34156.173200000019</v>
      </c>
      <c r="R34">
        <v>4</v>
      </c>
      <c r="S34">
        <v>8539.0433000000048</v>
      </c>
      <c r="T34">
        <v>2.6240207833438265</v>
      </c>
      <c r="U34">
        <v>4.698839172943145E-2</v>
      </c>
      <c r="V34">
        <v>2.5787391843115586</v>
      </c>
    </row>
    <row r="35" spans="16:22" x14ac:dyDescent="0.25">
      <c r="P35" t="s">
        <v>29</v>
      </c>
      <c r="Q35">
        <v>146438.22599999997</v>
      </c>
      <c r="R35">
        <v>45</v>
      </c>
      <c r="S35">
        <v>3254.1827999999991</v>
      </c>
    </row>
    <row r="37" spans="16:22" ht="15.75" thickBot="1" x14ac:dyDescent="0.3">
      <c r="P37" s="2" t="s">
        <v>30</v>
      </c>
      <c r="Q37" s="2">
        <v>180594.39919999999</v>
      </c>
      <c r="R37" s="2">
        <v>49</v>
      </c>
      <c r="S37" s="2"/>
      <c r="T37" s="2"/>
      <c r="U37" s="2"/>
      <c r="V37" s="2"/>
    </row>
  </sheetData>
  <mergeCells count="4">
    <mergeCell ref="P1:V1"/>
    <mergeCell ref="C1:L1"/>
    <mergeCell ref="B2:F2"/>
    <mergeCell ref="H2: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31A0-43D0-40BE-88C4-2FE2CEF8ABA0}">
  <dimension ref="A1:U50"/>
  <sheetViews>
    <sheetView topLeftCell="K1" workbookViewId="0">
      <selection activeCell="M50" sqref="M50"/>
    </sheetView>
  </sheetViews>
  <sheetFormatPr defaultRowHeight="15" x14ac:dyDescent="0.25"/>
  <cols>
    <col min="15" max="15" width="19.140625" bestFit="1" customWidth="1"/>
  </cols>
  <sheetData>
    <row r="1" spans="1:21" x14ac:dyDescent="0.25">
      <c r="B1" s="4" t="s">
        <v>31</v>
      </c>
      <c r="C1" s="4"/>
      <c r="D1" s="4"/>
      <c r="E1" s="4"/>
      <c r="F1" s="4"/>
      <c r="G1" s="4"/>
      <c r="H1" s="4"/>
      <c r="I1" s="4"/>
      <c r="J1" s="4"/>
      <c r="K1" s="4"/>
      <c r="O1" s="4" t="s">
        <v>31</v>
      </c>
      <c r="P1" s="4"/>
      <c r="Q1" s="4"/>
      <c r="R1" s="4"/>
      <c r="S1" s="4"/>
      <c r="T1" s="4"/>
      <c r="U1" s="4"/>
    </row>
    <row r="2" spans="1:21" x14ac:dyDescent="0.25">
      <c r="B2" s="4" t="s">
        <v>11</v>
      </c>
      <c r="C2" s="4"/>
      <c r="D2" s="4"/>
      <c r="E2" s="4"/>
      <c r="F2" s="4"/>
      <c r="H2" s="4" t="s">
        <v>12</v>
      </c>
      <c r="I2" s="4"/>
      <c r="J2" s="4"/>
      <c r="K2" s="4"/>
      <c r="L2" s="4"/>
      <c r="O2" t="s">
        <v>13</v>
      </c>
      <c r="P2" t="s">
        <v>11</v>
      </c>
    </row>
    <row r="3" spans="1:21" x14ac:dyDescent="0.25">
      <c r="B3">
        <v>0.01</v>
      </c>
      <c r="C3">
        <v>0.05</v>
      </c>
      <c r="D3">
        <v>0.1</v>
      </c>
      <c r="E3">
        <v>0.2</v>
      </c>
      <c r="F3">
        <v>0.3</v>
      </c>
      <c r="H3">
        <v>0.01</v>
      </c>
      <c r="I3">
        <v>0.05</v>
      </c>
      <c r="J3">
        <v>0.1</v>
      </c>
      <c r="K3">
        <v>0.2</v>
      </c>
      <c r="L3">
        <v>0.3</v>
      </c>
    </row>
    <row r="4" spans="1:21" ht="15.75" thickBot="1" x14ac:dyDescent="0.3">
      <c r="A4" t="s">
        <v>0</v>
      </c>
      <c r="B4">
        <v>47</v>
      </c>
      <c r="C4">
        <v>52</v>
      </c>
      <c r="D4">
        <v>54</v>
      </c>
      <c r="E4">
        <v>53</v>
      </c>
      <c r="F4">
        <v>56</v>
      </c>
      <c r="H4">
        <v>487.5</v>
      </c>
      <c r="I4">
        <v>655.8</v>
      </c>
      <c r="J4">
        <v>790.4</v>
      </c>
      <c r="K4">
        <v>803.4</v>
      </c>
      <c r="L4">
        <v>629.70000000000005</v>
      </c>
      <c r="O4" t="s">
        <v>14</v>
      </c>
    </row>
    <row r="5" spans="1:21" x14ac:dyDescent="0.25">
      <c r="A5" t="s">
        <v>1</v>
      </c>
      <c r="B5">
        <v>45</v>
      </c>
      <c r="C5">
        <v>56</v>
      </c>
      <c r="D5">
        <v>56</v>
      </c>
      <c r="E5">
        <v>57</v>
      </c>
      <c r="F5">
        <v>56</v>
      </c>
      <c r="H5">
        <v>703.6</v>
      </c>
      <c r="I5">
        <v>688.3</v>
      </c>
      <c r="J5">
        <v>800.2</v>
      </c>
      <c r="K5">
        <v>818.9</v>
      </c>
      <c r="L5">
        <v>873.2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</row>
    <row r="6" spans="1:21" x14ac:dyDescent="0.25">
      <c r="A6" t="s">
        <v>2</v>
      </c>
      <c r="B6">
        <v>53</v>
      </c>
      <c r="C6">
        <v>57</v>
      </c>
      <c r="D6">
        <v>55</v>
      </c>
      <c r="E6">
        <v>54</v>
      </c>
      <c r="F6">
        <v>52</v>
      </c>
      <c r="H6">
        <v>599.29999999999995</v>
      </c>
      <c r="I6">
        <v>882.5</v>
      </c>
      <c r="J6">
        <v>865.9</v>
      </c>
      <c r="K6">
        <v>886.1</v>
      </c>
      <c r="L6">
        <v>874.6</v>
      </c>
      <c r="O6">
        <v>0.01</v>
      </c>
      <c r="P6">
        <v>10</v>
      </c>
      <c r="Q6">
        <v>502</v>
      </c>
      <c r="R6">
        <v>50.2</v>
      </c>
      <c r="S6">
        <v>14.177777777777777</v>
      </c>
    </row>
    <row r="7" spans="1:21" x14ac:dyDescent="0.25">
      <c r="A7" t="s">
        <v>3</v>
      </c>
      <c r="B7">
        <v>48</v>
      </c>
      <c r="C7">
        <v>55</v>
      </c>
      <c r="D7">
        <v>53</v>
      </c>
      <c r="E7">
        <v>56</v>
      </c>
      <c r="F7">
        <v>51</v>
      </c>
      <c r="H7">
        <v>709.6</v>
      </c>
      <c r="I7">
        <v>805.2</v>
      </c>
      <c r="J7">
        <v>947.7</v>
      </c>
      <c r="K7">
        <v>862.6</v>
      </c>
      <c r="L7">
        <v>676.9</v>
      </c>
      <c r="O7">
        <v>0.05</v>
      </c>
      <c r="P7">
        <v>10</v>
      </c>
      <c r="Q7">
        <v>548</v>
      </c>
      <c r="R7">
        <v>54.8</v>
      </c>
      <c r="S7">
        <v>6.8444444444444441</v>
      </c>
    </row>
    <row r="8" spans="1:21" x14ac:dyDescent="0.25">
      <c r="A8" t="s">
        <v>4</v>
      </c>
      <c r="B8">
        <v>49</v>
      </c>
      <c r="C8">
        <v>58</v>
      </c>
      <c r="D8">
        <v>56</v>
      </c>
      <c r="E8">
        <v>57</v>
      </c>
      <c r="F8">
        <v>49</v>
      </c>
      <c r="H8">
        <v>599</v>
      </c>
      <c r="I8">
        <v>658.9</v>
      </c>
      <c r="J8">
        <v>883.5</v>
      </c>
      <c r="K8">
        <v>846.9</v>
      </c>
      <c r="L8">
        <v>892.1</v>
      </c>
      <c r="O8">
        <v>0.1</v>
      </c>
      <c r="P8">
        <v>10</v>
      </c>
      <c r="Q8">
        <v>550</v>
      </c>
      <c r="R8">
        <v>55</v>
      </c>
      <c r="S8">
        <v>5.5555555555555554</v>
      </c>
    </row>
    <row r="9" spans="1:21" x14ac:dyDescent="0.25">
      <c r="A9" t="s">
        <v>5</v>
      </c>
      <c r="B9">
        <v>51</v>
      </c>
      <c r="C9">
        <v>50</v>
      </c>
      <c r="D9">
        <v>51</v>
      </c>
      <c r="E9">
        <v>54</v>
      </c>
      <c r="F9">
        <v>51</v>
      </c>
      <c r="H9">
        <v>591.1</v>
      </c>
      <c r="I9">
        <v>844.6</v>
      </c>
      <c r="J9">
        <v>929.9</v>
      </c>
      <c r="K9">
        <v>802.1</v>
      </c>
      <c r="L9">
        <v>728.7</v>
      </c>
      <c r="O9">
        <v>0.2</v>
      </c>
      <c r="P9">
        <v>10</v>
      </c>
      <c r="Q9">
        <v>553</v>
      </c>
      <c r="R9">
        <v>55.3</v>
      </c>
      <c r="S9">
        <v>2.6777777777777776</v>
      </c>
    </row>
    <row r="10" spans="1:21" ht="15.75" thickBot="1" x14ac:dyDescent="0.3">
      <c r="A10" t="s">
        <v>6</v>
      </c>
      <c r="B10">
        <v>55</v>
      </c>
      <c r="C10">
        <v>58</v>
      </c>
      <c r="D10">
        <v>56</v>
      </c>
      <c r="E10">
        <v>56</v>
      </c>
      <c r="F10">
        <v>51</v>
      </c>
      <c r="H10">
        <v>586.70000000000005</v>
      </c>
      <c r="I10">
        <v>700.3</v>
      </c>
      <c r="J10">
        <v>946.5</v>
      </c>
      <c r="K10">
        <v>902.1</v>
      </c>
      <c r="L10">
        <v>804.4</v>
      </c>
      <c r="O10" s="2">
        <v>0.3</v>
      </c>
      <c r="P10" s="2">
        <v>10</v>
      </c>
      <c r="Q10" s="2">
        <v>532</v>
      </c>
      <c r="R10" s="2">
        <v>53.2</v>
      </c>
      <c r="S10" s="2">
        <v>9.0666666666666682</v>
      </c>
    </row>
    <row r="11" spans="1:21" x14ac:dyDescent="0.25">
      <c r="A11" t="s">
        <v>7</v>
      </c>
      <c r="B11">
        <v>57</v>
      </c>
      <c r="C11">
        <v>54</v>
      </c>
      <c r="D11">
        <v>60</v>
      </c>
      <c r="E11">
        <v>57</v>
      </c>
      <c r="F11">
        <v>58</v>
      </c>
      <c r="H11">
        <v>737.2</v>
      </c>
      <c r="I11">
        <v>800.4</v>
      </c>
      <c r="J11">
        <v>723.3</v>
      </c>
      <c r="K11">
        <v>862.8</v>
      </c>
      <c r="L11">
        <v>776.5</v>
      </c>
    </row>
    <row r="12" spans="1:21" x14ac:dyDescent="0.25">
      <c r="A12" t="s">
        <v>8</v>
      </c>
      <c r="B12">
        <v>49</v>
      </c>
      <c r="C12">
        <v>55</v>
      </c>
      <c r="D12">
        <v>54</v>
      </c>
      <c r="E12">
        <v>53</v>
      </c>
      <c r="F12">
        <v>56</v>
      </c>
      <c r="H12">
        <v>748.8</v>
      </c>
      <c r="I12">
        <v>735.9</v>
      </c>
      <c r="J12">
        <v>915.2</v>
      </c>
      <c r="K12">
        <v>916.3</v>
      </c>
      <c r="L12">
        <v>690.8</v>
      </c>
    </row>
    <row r="13" spans="1:21" ht="15.75" thickBot="1" x14ac:dyDescent="0.3">
      <c r="A13" t="s">
        <v>9</v>
      </c>
      <c r="B13">
        <v>48</v>
      </c>
      <c r="C13">
        <v>53</v>
      </c>
      <c r="D13">
        <v>55</v>
      </c>
      <c r="E13">
        <v>56</v>
      </c>
      <c r="F13">
        <v>52</v>
      </c>
      <c r="H13">
        <v>481.9</v>
      </c>
      <c r="I13">
        <v>741.8</v>
      </c>
      <c r="J13">
        <v>784.7</v>
      </c>
      <c r="K13">
        <v>906.9</v>
      </c>
      <c r="L13">
        <v>819.9</v>
      </c>
      <c r="O13" t="s">
        <v>20</v>
      </c>
    </row>
    <row r="14" spans="1:21" x14ac:dyDescent="0.25">
      <c r="O14" s="3" t="s">
        <v>21</v>
      </c>
      <c r="P14" s="3" t="s">
        <v>22</v>
      </c>
      <c r="Q14" s="3" t="s">
        <v>23</v>
      </c>
      <c r="R14" s="3" t="s">
        <v>24</v>
      </c>
      <c r="S14" s="3" t="s">
        <v>25</v>
      </c>
      <c r="T14" s="3" t="s">
        <v>26</v>
      </c>
      <c r="U14" s="3" t="s">
        <v>27</v>
      </c>
    </row>
    <row r="15" spans="1:21" x14ac:dyDescent="0.25">
      <c r="B15">
        <f>AVERAGE(B4:B13)</f>
        <v>50.2</v>
      </c>
      <c r="C15">
        <f t="shared" ref="C15:F15" si="0">AVERAGE(C4:C13)</f>
        <v>54.8</v>
      </c>
      <c r="D15">
        <f t="shared" si="0"/>
        <v>55</v>
      </c>
      <c r="E15">
        <f t="shared" si="0"/>
        <v>55.3</v>
      </c>
      <c r="F15">
        <f t="shared" si="0"/>
        <v>53.2</v>
      </c>
      <c r="H15">
        <f>AVERAGE(H4:H13)</f>
        <v>624.47</v>
      </c>
      <c r="I15">
        <f>AVERAGE(I4:I13)</f>
        <v>751.37</v>
      </c>
      <c r="J15">
        <f>AVERAGE(J4:J13)</f>
        <v>858.7299999999999</v>
      </c>
      <c r="K15">
        <f>AVERAGE(K4:K13)</f>
        <v>860.81000000000006</v>
      </c>
      <c r="L15">
        <f>AVERAGE(L4:L13)</f>
        <v>776.68</v>
      </c>
      <c r="O15" t="s">
        <v>28</v>
      </c>
      <c r="P15">
        <v>179.59999999999974</v>
      </c>
      <c r="Q15">
        <v>4</v>
      </c>
      <c r="R15">
        <v>44.899999999999935</v>
      </c>
      <c r="S15">
        <v>5.858219773847483</v>
      </c>
      <c r="T15">
        <v>6.9753522804602509E-4</v>
      </c>
      <c r="U15">
        <v>2.5787391843115586</v>
      </c>
    </row>
    <row r="16" spans="1:21" x14ac:dyDescent="0.25">
      <c r="O16" t="s">
        <v>29</v>
      </c>
      <c r="P16">
        <v>344.90000000000003</v>
      </c>
      <c r="Q16">
        <v>45</v>
      </c>
      <c r="R16">
        <v>7.6644444444444453</v>
      </c>
    </row>
    <row r="18" spans="15:21" ht="15.75" thickBot="1" x14ac:dyDescent="0.3">
      <c r="O18" s="2" t="s">
        <v>30</v>
      </c>
      <c r="P18" s="2">
        <v>524.49999999999977</v>
      </c>
      <c r="Q18" s="2">
        <v>49</v>
      </c>
      <c r="R18" s="2"/>
      <c r="S18" s="2"/>
      <c r="T18" s="2"/>
      <c r="U18" s="2"/>
    </row>
    <row r="21" spans="15:21" x14ac:dyDescent="0.25">
      <c r="O21" t="s">
        <v>13</v>
      </c>
      <c r="P21" t="s">
        <v>12</v>
      </c>
    </row>
    <row r="23" spans="15:21" ht="15.75" thickBot="1" x14ac:dyDescent="0.3">
      <c r="O23" t="s">
        <v>14</v>
      </c>
    </row>
    <row r="24" spans="15:21" x14ac:dyDescent="0.25">
      <c r="O24" s="3" t="s">
        <v>15</v>
      </c>
      <c r="P24" s="3" t="s">
        <v>16</v>
      </c>
      <c r="Q24" s="3" t="s">
        <v>17</v>
      </c>
      <c r="R24" s="3" t="s">
        <v>18</v>
      </c>
      <c r="S24" s="3" t="s">
        <v>19</v>
      </c>
    </row>
    <row r="25" spans="15:21" x14ac:dyDescent="0.25">
      <c r="O25">
        <v>0.01</v>
      </c>
      <c r="P25">
        <v>10</v>
      </c>
      <c r="Q25">
        <v>6244.7</v>
      </c>
      <c r="R25">
        <v>624.47</v>
      </c>
      <c r="S25">
        <v>9398.2267777777997</v>
      </c>
    </row>
    <row r="26" spans="15:21" x14ac:dyDescent="0.25">
      <c r="O26">
        <v>0.05</v>
      </c>
      <c r="P26">
        <v>10</v>
      </c>
      <c r="Q26">
        <v>7513.7</v>
      </c>
      <c r="R26">
        <v>751.37</v>
      </c>
      <c r="S26">
        <v>6198.8578888888915</v>
      </c>
    </row>
    <row r="27" spans="15:21" x14ac:dyDescent="0.25">
      <c r="O27">
        <v>0.1</v>
      </c>
      <c r="P27">
        <v>10</v>
      </c>
      <c r="Q27">
        <v>8587.2999999999993</v>
      </c>
      <c r="R27">
        <v>858.7299999999999</v>
      </c>
      <c r="S27">
        <v>6272.7445555555569</v>
      </c>
    </row>
    <row r="28" spans="15:21" x14ac:dyDescent="0.25">
      <c r="O28">
        <v>0.2</v>
      </c>
      <c r="P28">
        <v>10</v>
      </c>
      <c r="Q28">
        <v>8608.1</v>
      </c>
      <c r="R28">
        <v>860.81000000000006</v>
      </c>
      <c r="S28">
        <v>1805.3054444444442</v>
      </c>
    </row>
    <row r="29" spans="15:21" ht="15.75" thickBot="1" x14ac:dyDescent="0.3">
      <c r="O29" s="2">
        <v>0.3</v>
      </c>
      <c r="P29" s="2">
        <v>10</v>
      </c>
      <c r="Q29" s="2">
        <v>7766.7999999999993</v>
      </c>
      <c r="R29" s="2">
        <v>776.68</v>
      </c>
      <c r="S29" s="2">
        <v>8455.4706666668262</v>
      </c>
    </row>
    <row r="32" spans="15:21" ht="15.75" thickBot="1" x14ac:dyDescent="0.3">
      <c r="O32" t="s">
        <v>20</v>
      </c>
    </row>
    <row r="33" spans="15:21" x14ac:dyDescent="0.25">
      <c r="O33" s="3" t="s">
        <v>21</v>
      </c>
      <c r="P33" s="3" t="s">
        <v>22</v>
      </c>
      <c r="Q33" s="3" t="s">
        <v>23</v>
      </c>
      <c r="R33" s="3" t="s">
        <v>24</v>
      </c>
      <c r="S33" s="3" t="s">
        <v>25</v>
      </c>
      <c r="T33" s="3" t="s">
        <v>26</v>
      </c>
      <c r="U33" s="3" t="s">
        <v>27</v>
      </c>
    </row>
    <row r="34" spans="15:21" x14ac:dyDescent="0.25">
      <c r="O34" t="s">
        <v>28</v>
      </c>
      <c r="P34">
        <v>375928.20479999995</v>
      </c>
      <c r="Q34">
        <v>4</v>
      </c>
      <c r="R34">
        <v>93982.051199999987</v>
      </c>
      <c r="S34">
        <v>14.625004761815044</v>
      </c>
      <c r="T34">
        <v>9.9630767496313637E-8</v>
      </c>
      <c r="U34">
        <v>2.5787391843115586</v>
      </c>
    </row>
    <row r="35" spans="15:21" x14ac:dyDescent="0.25">
      <c r="O35" t="s">
        <v>29</v>
      </c>
      <c r="P35">
        <v>289175.44800000009</v>
      </c>
      <c r="Q35">
        <v>45</v>
      </c>
      <c r="R35">
        <v>6426.1210666666684</v>
      </c>
    </row>
    <row r="37" spans="15:21" ht="15.75" thickBot="1" x14ac:dyDescent="0.3">
      <c r="O37" s="2" t="s">
        <v>30</v>
      </c>
      <c r="P37" s="2">
        <v>665103.65280000004</v>
      </c>
      <c r="Q37" s="2">
        <v>49</v>
      </c>
      <c r="R37" s="2"/>
      <c r="S37" s="2"/>
      <c r="T37" s="2"/>
      <c r="U37" s="2"/>
    </row>
    <row r="50" spans="13:13" x14ac:dyDescent="0.25">
      <c r="M50">
        <v>50.2</v>
      </c>
    </row>
  </sheetData>
  <mergeCells count="4">
    <mergeCell ref="O1:U1"/>
    <mergeCell ref="B1:K1"/>
    <mergeCell ref="B2:F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3FFC-65C1-49D2-9770-5F8889ED063B}">
  <dimension ref="A1:W40"/>
  <sheetViews>
    <sheetView tabSelected="1" topLeftCell="M1" workbookViewId="0">
      <selection activeCell="R40" sqref="R40"/>
    </sheetView>
  </sheetViews>
  <sheetFormatPr defaultRowHeight="15" x14ac:dyDescent="0.25"/>
  <cols>
    <col min="17" max="17" width="19.140625" bestFit="1" customWidth="1"/>
  </cols>
  <sheetData>
    <row r="1" spans="1:23" x14ac:dyDescent="0.25">
      <c r="B1" s="4" t="s">
        <v>32</v>
      </c>
      <c r="C1" s="4"/>
      <c r="D1" s="4"/>
      <c r="E1" s="4"/>
      <c r="F1" s="4"/>
      <c r="G1" s="4"/>
      <c r="H1" s="4"/>
      <c r="I1" s="4"/>
      <c r="J1" s="4"/>
      <c r="K1" s="4"/>
      <c r="L1" s="4"/>
      <c r="Q1" s="4" t="s">
        <v>32</v>
      </c>
      <c r="R1" s="4"/>
      <c r="S1" s="4"/>
      <c r="T1" s="4"/>
      <c r="U1" s="4"/>
      <c r="V1" s="4"/>
      <c r="W1" s="4"/>
    </row>
    <row r="2" spans="1:23" x14ac:dyDescent="0.25">
      <c r="B2" s="4" t="s">
        <v>11</v>
      </c>
      <c r="C2" s="4"/>
      <c r="D2" s="4"/>
      <c r="E2" s="4"/>
      <c r="F2" s="4"/>
      <c r="G2" s="4"/>
      <c r="H2" s="1"/>
      <c r="I2" s="4" t="s">
        <v>12</v>
      </c>
      <c r="J2" s="4"/>
      <c r="K2" s="4"/>
      <c r="L2" s="4"/>
      <c r="M2" s="4"/>
      <c r="N2" s="4"/>
      <c r="Q2" t="s">
        <v>13</v>
      </c>
      <c r="R2" t="s">
        <v>11</v>
      </c>
    </row>
    <row r="3" spans="1:23" x14ac:dyDescent="0.25">
      <c r="B3">
        <v>2</v>
      </c>
      <c r="C3">
        <v>3</v>
      </c>
      <c r="D3">
        <v>5</v>
      </c>
      <c r="E3">
        <v>7</v>
      </c>
      <c r="F3">
        <v>9</v>
      </c>
      <c r="G3">
        <v>10</v>
      </c>
      <c r="I3">
        <v>2</v>
      </c>
      <c r="J3">
        <v>3</v>
      </c>
      <c r="K3">
        <v>5</v>
      </c>
      <c r="L3">
        <v>7</v>
      </c>
      <c r="M3">
        <v>9</v>
      </c>
      <c r="N3">
        <v>10</v>
      </c>
    </row>
    <row r="4" spans="1:23" ht="15.75" thickBot="1" x14ac:dyDescent="0.3">
      <c r="A4" t="s">
        <v>0</v>
      </c>
      <c r="B4">
        <v>40</v>
      </c>
      <c r="C4">
        <v>54</v>
      </c>
      <c r="D4">
        <v>58</v>
      </c>
      <c r="E4">
        <v>59</v>
      </c>
      <c r="F4">
        <v>57</v>
      </c>
      <c r="G4">
        <v>59</v>
      </c>
      <c r="I4">
        <v>465.6</v>
      </c>
      <c r="J4">
        <v>817.5</v>
      </c>
      <c r="K4">
        <v>831.1</v>
      </c>
      <c r="L4">
        <v>891.2</v>
      </c>
      <c r="M4">
        <v>926.4</v>
      </c>
      <c r="N4">
        <v>920</v>
      </c>
      <c r="Q4" t="s">
        <v>14</v>
      </c>
    </row>
    <row r="5" spans="1:23" x14ac:dyDescent="0.25">
      <c r="A5" t="s">
        <v>1</v>
      </c>
      <c r="B5">
        <v>35</v>
      </c>
      <c r="C5">
        <v>59</v>
      </c>
      <c r="D5">
        <v>56</v>
      </c>
      <c r="E5">
        <v>59</v>
      </c>
      <c r="F5">
        <v>58</v>
      </c>
      <c r="G5">
        <v>58</v>
      </c>
      <c r="I5">
        <v>366.5</v>
      </c>
      <c r="J5">
        <v>877.2</v>
      </c>
      <c r="K5">
        <v>831.6</v>
      </c>
      <c r="L5">
        <v>948.4</v>
      </c>
      <c r="M5">
        <v>839.3</v>
      </c>
      <c r="N5">
        <v>904.3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</row>
    <row r="6" spans="1:23" x14ac:dyDescent="0.25">
      <c r="A6" t="s">
        <v>2</v>
      </c>
      <c r="B6">
        <v>41</v>
      </c>
      <c r="C6">
        <v>54</v>
      </c>
      <c r="D6">
        <v>59</v>
      </c>
      <c r="E6">
        <v>57</v>
      </c>
      <c r="F6">
        <v>60</v>
      </c>
      <c r="G6">
        <v>59</v>
      </c>
      <c r="I6">
        <v>403.5</v>
      </c>
      <c r="J6">
        <v>866.6</v>
      </c>
      <c r="K6">
        <v>898.2</v>
      </c>
      <c r="L6">
        <v>928.3</v>
      </c>
      <c r="M6">
        <v>908.4</v>
      </c>
      <c r="N6">
        <v>849.1</v>
      </c>
      <c r="Q6">
        <v>2</v>
      </c>
      <c r="R6">
        <v>10</v>
      </c>
      <c r="S6">
        <v>397</v>
      </c>
      <c r="T6">
        <v>39.700000000000003</v>
      </c>
      <c r="U6">
        <v>5.7888888888888888</v>
      </c>
    </row>
    <row r="7" spans="1:23" x14ac:dyDescent="0.25">
      <c r="A7" t="s">
        <v>3</v>
      </c>
      <c r="B7">
        <v>38</v>
      </c>
      <c r="C7">
        <v>57</v>
      </c>
      <c r="D7">
        <v>57</v>
      </c>
      <c r="E7">
        <v>58</v>
      </c>
      <c r="F7">
        <v>56</v>
      </c>
      <c r="G7">
        <v>56</v>
      </c>
      <c r="I7">
        <v>323.60000000000002</v>
      </c>
      <c r="J7">
        <v>732.8</v>
      </c>
      <c r="K7">
        <v>914.2</v>
      </c>
      <c r="L7">
        <v>882.2</v>
      </c>
      <c r="M7">
        <v>912.7</v>
      </c>
      <c r="N7">
        <v>912.3</v>
      </c>
      <c r="Q7">
        <v>3</v>
      </c>
      <c r="R7">
        <v>10</v>
      </c>
      <c r="S7">
        <v>563</v>
      </c>
      <c r="T7">
        <v>56.3</v>
      </c>
      <c r="U7">
        <v>8.0111111111111128</v>
      </c>
    </row>
    <row r="8" spans="1:23" x14ac:dyDescent="0.25">
      <c r="A8" t="s">
        <v>4</v>
      </c>
      <c r="B8">
        <v>39</v>
      </c>
      <c r="C8">
        <v>59</v>
      </c>
      <c r="D8">
        <v>60</v>
      </c>
      <c r="E8">
        <v>58</v>
      </c>
      <c r="F8">
        <v>59</v>
      </c>
      <c r="G8">
        <v>61</v>
      </c>
      <c r="I8">
        <v>311.8</v>
      </c>
      <c r="J8">
        <v>832.7</v>
      </c>
      <c r="K8">
        <v>818.1</v>
      </c>
      <c r="L8">
        <v>882.1</v>
      </c>
      <c r="M8">
        <v>896</v>
      </c>
      <c r="N8">
        <v>886.6</v>
      </c>
      <c r="Q8">
        <v>5</v>
      </c>
      <c r="R8">
        <v>10</v>
      </c>
      <c r="S8">
        <v>570</v>
      </c>
      <c r="T8">
        <v>57</v>
      </c>
      <c r="U8">
        <v>3.1111111111111112</v>
      </c>
    </row>
    <row r="9" spans="1:23" x14ac:dyDescent="0.25">
      <c r="A9" t="s">
        <v>5</v>
      </c>
      <c r="B9">
        <v>44</v>
      </c>
      <c r="C9">
        <v>61</v>
      </c>
      <c r="D9">
        <v>56</v>
      </c>
      <c r="E9">
        <v>61</v>
      </c>
      <c r="F9">
        <v>59</v>
      </c>
      <c r="G9">
        <v>57</v>
      </c>
      <c r="I9">
        <v>359.3</v>
      </c>
      <c r="J9">
        <v>741.1</v>
      </c>
      <c r="K9">
        <v>913.6</v>
      </c>
      <c r="L9">
        <v>933.9</v>
      </c>
      <c r="M9">
        <v>871.8</v>
      </c>
      <c r="N9">
        <v>958.9</v>
      </c>
      <c r="Q9">
        <v>7</v>
      </c>
      <c r="R9">
        <v>10</v>
      </c>
      <c r="S9">
        <v>592</v>
      </c>
      <c r="T9">
        <v>59.2</v>
      </c>
      <c r="U9">
        <v>3.5111111111111111</v>
      </c>
    </row>
    <row r="10" spans="1:23" x14ac:dyDescent="0.25">
      <c r="A10" t="s">
        <v>6</v>
      </c>
      <c r="B10">
        <v>40</v>
      </c>
      <c r="C10">
        <v>57</v>
      </c>
      <c r="D10">
        <v>56</v>
      </c>
      <c r="E10">
        <v>62</v>
      </c>
      <c r="F10">
        <v>60</v>
      </c>
      <c r="G10">
        <v>58</v>
      </c>
      <c r="I10">
        <v>356.4</v>
      </c>
      <c r="J10">
        <v>815.2</v>
      </c>
      <c r="K10">
        <v>851.3</v>
      </c>
      <c r="L10">
        <v>893.2</v>
      </c>
      <c r="M10">
        <v>970.6</v>
      </c>
      <c r="N10">
        <v>894.1</v>
      </c>
      <c r="Q10">
        <v>9</v>
      </c>
      <c r="R10">
        <v>10</v>
      </c>
      <c r="S10">
        <v>580</v>
      </c>
      <c r="T10">
        <v>58</v>
      </c>
      <c r="U10">
        <v>4.8888888888888893</v>
      </c>
    </row>
    <row r="11" spans="1:23" ht="15.75" thickBot="1" x14ac:dyDescent="0.3">
      <c r="A11" t="s">
        <v>7</v>
      </c>
      <c r="B11">
        <v>39</v>
      </c>
      <c r="C11">
        <v>52</v>
      </c>
      <c r="D11">
        <v>56</v>
      </c>
      <c r="E11">
        <v>57</v>
      </c>
      <c r="F11">
        <v>53</v>
      </c>
      <c r="G11">
        <v>58</v>
      </c>
      <c r="I11">
        <v>242.4</v>
      </c>
      <c r="J11">
        <v>863.3</v>
      </c>
      <c r="K11">
        <v>930.7</v>
      </c>
      <c r="L11">
        <v>921.6</v>
      </c>
      <c r="M11">
        <v>864.4</v>
      </c>
      <c r="N11">
        <v>924.3</v>
      </c>
      <c r="Q11" s="2">
        <v>10</v>
      </c>
      <c r="R11" s="2">
        <v>10</v>
      </c>
      <c r="S11" s="2">
        <v>579</v>
      </c>
      <c r="T11" s="2">
        <v>57.9</v>
      </c>
      <c r="U11" s="2">
        <v>2.7666666666666671</v>
      </c>
    </row>
    <row r="12" spans="1:23" x14ac:dyDescent="0.25">
      <c r="A12" t="s">
        <v>8</v>
      </c>
      <c r="B12">
        <v>39</v>
      </c>
      <c r="C12">
        <v>54</v>
      </c>
      <c r="D12">
        <v>58</v>
      </c>
      <c r="E12">
        <v>62</v>
      </c>
      <c r="F12">
        <v>60</v>
      </c>
      <c r="G12">
        <v>55</v>
      </c>
      <c r="I12">
        <v>369.5</v>
      </c>
      <c r="J12">
        <v>911.7</v>
      </c>
      <c r="K12">
        <v>843.8</v>
      </c>
      <c r="L12">
        <v>881.1</v>
      </c>
      <c r="M12">
        <v>943.1</v>
      </c>
      <c r="N12">
        <v>886</v>
      </c>
    </row>
    <row r="13" spans="1:23" x14ac:dyDescent="0.25">
      <c r="A13" t="s">
        <v>9</v>
      </c>
      <c r="B13">
        <v>42</v>
      </c>
      <c r="C13">
        <v>56</v>
      </c>
      <c r="D13">
        <v>54</v>
      </c>
      <c r="E13">
        <v>59</v>
      </c>
      <c r="F13">
        <v>58</v>
      </c>
      <c r="G13">
        <v>58</v>
      </c>
      <c r="I13">
        <v>561.6</v>
      </c>
      <c r="J13">
        <v>767.5</v>
      </c>
      <c r="K13">
        <v>857.1</v>
      </c>
      <c r="L13">
        <v>915.4</v>
      </c>
      <c r="M13">
        <v>936.9</v>
      </c>
      <c r="N13">
        <v>911</v>
      </c>
    </row>
    <row r="14" spans="1:23" ht="15.75" thickBot="1" x14ac:dyDescent="0.3">
      <c r="Q14" t="s">
        <v>20</v>
      </c>
    </row>
    <row r="15" spans="1:23" x14ac:dyDescent="0.25">
      <c r="B15">
        <f>AVERAGE(B4:B13)</f>
        <v>39.700000000000003</v>
      </c>
      <c r="C15">
        <f t="shared" ref="C15:G15" si="0">AVERAGE(C4:C13)</f>
        <v>56.3</v>
      </c>
      <c r="D15">
        <f t="shared" si="0"/>
        <v>57</v>
      </c>
      <c r="E15">
        <f t="shared" si="0"/>
        <v>59.2</v>
      </c>
      <c r="F15">
        <f t="shared" si="0"/>
        <v>58</v>
      </c>
      <c r="G15">
        <f t="shared" si="0"/>
        <v>57.9</v>
      </c>
      <c r="I15">
        <f>AVERAGE(I4:I13)</f>
        <v>376.02</v>
      </c>
      <c r="J15">
        <f t="shared" ref="J15:N15" si="1">AVERAGE(J4:J13)</f>
        <v>822.56000000000006</v>
      </c>
      <c r="K15">
        <f t="shared" si="1"/>
        <v>868.97</v>
      </c>
      <c r="L15">
        <f t="shared" si="1"/>
        <v>907.74</v>
      </c>
      <c r="M15">
        <f t="shared" si="1"/>
        <v>906.96</v>
      </c>
      <c r="N15">
        <f t="shared" si="1"/>
        <v>904.66000000000008</v>
      </c>
      <c r="Q15" s="3" t="s">
        <v>21</v>
      </c>
      <c r="R15" s="3" t="s">
        <v>22</v>
      </c>
      <c r="S15" s="3" t="s">
        <v>23</v>
      </c>
      <c r="T15" s="3" t="s">
        <v>24</v>
      </c>
      <c r="U15" s="3" t="s">
        <v>25</v>
      </c>
      <c r="V15" s="3" t="s">
        <v>26</v>
      </c>
      <c r="W15" s="3" t="s">
        <v>27</v>
      </c>
    </row>
    <row r="16" spans="1:23" x14ac:dyDescent="0.25">
      <c r="Q16" t="s">
        <v>28</v>
      </c>
      <c r="R16">
        <v>2742.2833333333301</v>
      </c>
      <c r="S16">
        <v>5</v>
      </c>
      <c r="T16">
        <v>548.45666666666671</v>
      </c>
      <c r="U16">
        <v>117.20087059754651</v>
      </c>
      <c r="V16">
        <v>1.0121860280166341E-27</v>
      </c>
      <c r="W16">
        <v>2.3860698615742186</v>
      </c>
    </row>
    <row r="17" spans="17:23" x14ac:dyDescent="0.25">
      <c r="Q17" t="s">
        <v>29</v>
      </c>
      <c r="R17">
        <v>252.70000000000002</v>
      </c>
      <c r="S17">
        <v>54</v>
      </c>
      <c r="T17">
        <v>4.6796296296296296</v>
      </c>
    </row>
    <row r="19" spans="17:23" ht="15.75" thickBot="1" x14ac:dyDescent="0.3">
      <c r="Q19" s="2" t="s">
        <v>30</v>
      </c>
      <c r="R19" s="2">
        <v>2994.9833333333336</v>
      </c>
      <c r="S19" s="2">
        <v>59</v>
      </c>
      <c r="T19" s="2"/>
      <c r="U19" s="2"/>
      <c r="V19" s="2"/>
      <c r="W19" s="2"/>
    </row>
    <row r="23" spans="17:23" x14ac:dyDescent="0.25">
      <c r="Q23" t="s">
        <v>13</v>
      </c>
    </row>
    <row r="25" spans="17:23" ht="15.75" thickBot="1" x14ac:dyDescent="0.3">
      <c r="Q25" t="s">
        <v>14</v>
      </c>
    </row>
    <row r="26" spans="17:23" x14ac:dyDescent="0.25">
      <c r="Q26" s="3" t="s">
        <v>15</v>
      </c>
      <c r="R26" s="3" t="s">
        <v>16</v>
      </c>
      <c r="S26" s="3" t="s">
        <v>17</v>
      </c>
      <c r="T26" s="3" t="s">
        <v>18</v>
      </c>
      <c r="U26" s="3" t="s">
        <v>19</v>
      </c>
    </row>
    <row r="27" spans="17:23" x14ac:dyDescent="0.25">
      <c r="Q27">
        <v>2</v>
      </c>
      <c r="R27">
        <v>10</v>
      </c>
      <c r="S27">
        <v>3760.2</v>
      </c>
      <c r="T27">
        <v>376.02</v>
      </c>
      <c r="U27">
        <v>7638.1862222222453</v>
      </c>
    </row>
    <row r="28" spans="17:23" x14ac:dyDescent="0.25">
      <c r="Q28">
        <v>3</v>
      </c>
      <c r="R28">
        <v>10</v>
      </c>
      <c r="S28">
        <v>8225.6</v>
      </c>
      <c r="T28">
        <v>822.56000000000006</v>
      </c>
      <c r="U28">
        <v>3604.1693333333351</v>
      </c>
    </row>
    <row r="29" spans="17:23" x14ac:dyDescent="0.25">
      <c r="Q29">
        <v>5</v>
      </c>
      <c r="R29">
        <v>10</v>
      </c>
      <c r="S29">
        <v>8689.7000000000007</v>
      </c>
      <c r="T29">
        <v>868.97</v>
      </c>
      <c r="U29">
        <v>1689.7378888888902</v>
      </c>
    </row>
    <row r="30" spans="17:23" x14ac:dyDescent="0.25">
      <c r="Q30">
        <v>7</v>
      </c>
      <c r="R30">
        <v>10</v>
      </c>
      <c r="S30">
        <v>9077.4</v>
      </c>
      <c r="T30">
        <v>907.74</v>
      </c>
      <c r="U30">
        <v>612.82711111110973</v>
      </c>
    </row>
    <row r="31" spans="17:23" x14ac:dyDescent="0.25">
      <c r="Q31">
        <v>9</v>
      </c>
      <c r="R31">
        <v>10</v>
      </c>
      <c r="S31">
        <v>9069.6</v>
      </c>
      <c r="T31">
        <v>906.96</v>
      </c>
      <c r="U31">
        <v>1601.229333333335</v>
      </c>
    </row>
    <row r="32" spans="17:23" ht="15.75" thickBot="1" x14ac:dyDescent="0.3">
      <c r="Q32" s="2">
        <v>10</v>
      </c>
      <c r="R32" s="2">
        <v>10</v>
      </c>
      <c r="S32" s="2">
        <v>9046.6</v>
      </c>
      <c r="T32" s="2">
        <v>904.66000000000008</v>
      </c>
      <c r="U32" s="2">
        <v>837.1671111111101</v>
      </c>
    </row>
    <row r="35" spans="17:23" ht="15.75" thickBot="1" x14ac:dyDescent="0.3">
      <c r="Q35" t="s">
        <v>20</v>
      </c>
    </row>
    <row r="36" spans="17:23" x14ac:dyDescent="0.25">
      <c r="Q36" s="3" t="s">
        <v>21</v>
      </c>
      <c r="R36" s="3" t="s">
        <v>22</v>
      </c>
      <c r="S36" s="3" t="s">
        <v>23</v>
      </c>
      <c r="T36" s="3" t="s">
        <v>24</v>
      </c>
      <c r="U36" s="3" t="s">
        <v>25</v>
      </c>
      <c r="V36" s="3" t="s">
        <v>26</v>
      </c>
      <c r="W36" s="3" t="s">
        <v>27</v>
      </c>
    </row>
    <row r="37" spans="17:23" x14ac:dyDescent="0.25">
      <c r="Q37" t="s">
        <v>28</v>
      </c>
      <c r="R37">
        <v>2189983.6168333301</v>
      </c>
      <c r="S37">
        <v>5</v>
      </c>
      <c r="T37">
        <v>437996.72336666699</v>
      </c>
      <c r="U37">
        <v>164.42021016038154</v>
      </c>
      <c r="V37">
        <v>2.180724538285792E-31</v>
      </c>
      <c r="W37">
        <v>2.3860698615742186</v>
      </c>
    </row>
    <row r="38" spans="17:23" x14ac:dyDescent="0.25">
      <c r="Q38" t="s">
        <v>29</v>
      </c>
      <c r="R38">
        <v>143849.853</v>
      </c>
      <c r="S38">
        <v>54</v>
      </c>
      <c r="T38">
        <v>2663.8861666666671</v>
      </c>
    </row>
    <row r="40" spans="17:23" ht="15.75" thickBot="1" x14ac:dyDescent="0.3">
      <c r="Q40" s="2" t="s">
        <v>30</v>
      </c>
      <c r="R40" s="2">
        <v>2333833.4698333298</v>
      </c>
      <c r="S40" s="2">
        <v>59</v>
      </c>
      <c r="T40" s="2"/>
      <c r="U40" s="2"/>
      <c r="V40" s="2"/>
      <c r="W40" s="2"/>
    </row>
  </sheetData>
  <mergeCells count="4">
    <mergeCell ref="Q1:W1"/>
    <mergeCell ref="B1:L1"/>
    <mergeCell ref="B2:G2"/>
    <mergeCell ref="I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Crossover</vt:lpstr>
      <vt:lpstr>Mutation</vt:lpstr>
      <vt:lpstr>Tournament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 Srivastava</cp:lastModifiedBy>
  <dcterms:created xsi:type="dcterms:W3CDTF">2015-06-05T18:17:20Z</dcterms:created>
  <dcterms:modified xsi:type="dcterms:W3CDTF">2026-07-08T11:36:07Z</dcterms:modified>
</cp:coreProperties>
</file>