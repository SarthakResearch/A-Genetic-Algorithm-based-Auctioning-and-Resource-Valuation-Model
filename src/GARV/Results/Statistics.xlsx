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y Drive\PhD\Contributions\4. Contribution 3 (GARV)\Revision 2\H\Revision 2\Results\Statistics\"/>
    </mc:Choice>
  </mc:AlternateContent>
  <xr:revisionPtr revIDLastSave="0" documentId="13_ncr:1_{29AC5BF8-9185-4A5C-A8EF-927C79D9B3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riedman" sheetId="1" r:id="rId1"/>
    <sheet name="Wilcox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P14" i="1"/>
  <c r="O14" i="1"/>
  <c r="R14" i="1"/>
  <c r="C119" i="1"/>
  <c r="C120" i="1" s="1"/>
  <c r="D119" i="1"/>
  <c r="D121" i="1" s="1"/>
  <c r="E119" i="1"/>
  <c r="B119" i="1"/>
  <c r="B120" i="1" s="1"/>
  <c r="C108" i="1"/>
  <c r="C109" i="1" s="1"/>
  <c r="D108" i="1"/>
  <c r="D109" i="1" s="1"/>
  <c r="E108" i="1"/>
  <c r="E109" i="1" s="1"/>
  <c r="B108" i="1"/>
  <c r="B109" i="1" s="1"/>
  <c r="C97" i="1"/>
  <c r="C98" i="1" s="1"/>
  <c r="D97" i="1"/>
  <c r="D98" i="1" s="1"/>
  <c r="E97" i="1"/>
  <c r="E98" i="1" s="1"/>
  <c r="B97" i="1"/>
  <c r="B99" i="1" s="1"/>
  <c r="C86" i="1"/>
  <c r="C87" i="1" s="1"/>
  <c r="D86" i="1"/>
  <c r="D87" i="1" s="1"/>
  <c r="E86" i="1"/>
  <c r="E87" i="1" s="1"/>
  <c r="B86" i="1"/>
  <c r="B87" i="1" s="1"/>
  <c r="C75" i="1"/>
  <c r="C77" i="1" s="1"/>
  <c r="D75" i="1"/>
  <c r="D77" i="1" s="1"/>
  <c r="E75" i="1"/>
  <c r="E76" i="1" s="1"/>
  <c r="B75" i="1"/>
  <c r="B77" i="1" s="1"/>
  <c r="C63" i="1"/>
  <c r="C65" i="1" s="1"/>
  <c r="D63" i="1"/>
  <c r="D65" i="1" s="1"/>
  <c r="E63" i="1"/>
  <c r="E65" i="1" s="1"/>
  <c r="B63" i="1"/>
  <c r="B65" i="1" s="1"/>
  <c r="C52" i="1"/>
  <c r="C54" i="1" s="1"/>
  <c r="D52" i="1"/>
  <c r="D54" i="1" s="1"/>
  <c r="E52" i="1"/>
  <c r="E54" i="1" s="1"/>
  <c r="B52" i="1"/>
  <c r="B54" i="1" s="1"/>
  <c r="C41" i="1"/>
  <c r="C43" i="1" s="1"/>
  <c r="D41" i="1"/>
  <c r="D42" i="1" s="1"/>
  <c r="E41" i="1"/>
  <c r="E42" i="1" s="1"/>
  <c r="B41" i="1"/>
  <c r="B43" i="1" s="1"/>
  <c r="C30" i="1"/>
  <c r="C31" i="1" s="1"/>
  <c r="D30" i="1"/>
  <c r="D31" i="1" s="1"/>
  <c r="E30" i="1"/>
  <c r="E31" i="1" s="1"/>
  <c r="B30" i="1"/>
  <c r="B32" i="1" s="1"/>
  <c r="C19" i="1"/>
  <c r="C21" i="1" s="1"/>
  <c r="D19" i="1"/>
  <c r="D21" i="1" s="1"/>
  <c r="E19" i="1"/>
  <c r="E21" i="1" s="1"/>
  <c r="B19" i="1"/>
  <c r="B21" i="1" s="1"/>
  <c r="C8" i="1"/>
  <c r="D8" i="1"/>
  <c r="D10" i="1" s="1"/>
  <c r="E8" i="1"/>
  <c r="E10" i="1" s="1"/>
  <c r="B8" i="1"/>
  <c r="B10" i="1" s="1"/>
  <c r="C10" i="1"/>
  <c r="R88" i="2"/>
  <c r="S88" i="2" s="1"/>
  <c r="R89" i="2"/>
  <c r="S89" i="2" s="1"/>
  <c r="R90" i="2"/>
  <c r="S90" i="2" s="1"/>
  <c r="R91" i="2"/>
  <c r="S91" i="2" s="1"/>
  <c r="R87" i="2"/>
  <c r="S87" i="2" s="1"/>
  <c r="S76" i="2"/>
  <c r="R76" i="2"/>
  <c r="R77" i="2"/>
  <c r="S77" i="2" s="1"/>
  <c r="R78" i="2"/>
  <c r="S78" i="2" s="1"/>
  <c r="R79" i="2"/>
  <c r="S79" i="2" s="1"/>
  <c r="R75" i="2"/>
  <c r="S75" i="2" s="1"/>
  <c r="R67" i="2"/>
  <c r="S67" i="2" s="1"/>
  <c r="R64" i="2"/>
  <c r="S64" i="2" s="1"/>
  <c r="R65" i="2"/>
  <c r="S65" i="2" s="1"/>
  <c r="R66" i="2"/>
  <c r="S66" i="2" s="1"/>
  <c r="R63" i="2"/>
  <c r="S63" i="2" s="1"/>
  <c r="R52" i="2"/>
  <c r="S52" i="2" s="1"/>
  <c r="R53" i="2"/>
  <c r="S53" i="2" s="1"/>
  <c r="R54" i="2"/>
  <c r="S54" i="2" s="1"/>
  <c r="R55" i="2"/>
  <c r="S55" i="2" s="1"/>
  <c r="R51" i="2"/>
  <c r="S51" i="2" s="1"/>
  <c r="R40" i="2"/>
  <c r="S40" i="2" s="1"/>
  <c r="R41" i="2"/>
  <c r="S41" i="2" s="1"/>
  <c r="R42" i="2"/>
  <c r="S42" i="2" s="1"/>
  <c r="R43" i="2"/>
  <c r="S43" i="2" s="1"/>
  <c r="R39" i="2"/>
  <c r="S39" i="2" s="1"/>
  <c r="R28" i="2"/>
  <c r="S28" i="2" s="1"/>
  <c r="R29" i="2"/>
  <c r="S29" i="2" s="1"/>
  <c r="R30" i="2"/>
  <c r="S30" i="2" s="1"/>
  <c r="R31" i="2"/>
  <c r="S31" i="2" s="1"/>
  <c r="R27" i="2"/>
  <c r="S27" i="2" s="1"/>
  <c r="R16" i="2"/>
  <c r="S16" i="2" s="1"/>
  <c r="R17" i="2"/>
  <c r="S17" i="2" s="1"/>
  <c r="R18" i="2"/>
  <c r="S18" i="2" s="1"/>
  <c r="R19" i="2"/>
  <c r="S19" i="2" s="1"/>
  <c r="R15" i="2"/>
  <c r="S15" i="2" s="1"/>
  <c r="R4" i="2"/>
  <c r="S4" i="2" s="1"/>
  <c r="R5" i="2"/>
  <c r="S5" i="2" s="1"/>
  <c r="R6" i="2"/>
  <c r="S6" i="2" s="1"/>
  <c r="R7" i="2"/>
  <c r="S7" i="2" s="1"/>
  <c r="R3" i="2"/>
  <c r="S3" i="2" s="1"/>
  <c r="K88" i="2"/>
  <c r="L88" i="2" s="1"/>
  <c r="K89" i="2"/>
  <c r="L89" i="2" s="1"/>
  <c r="K90" i="2"/>
  <c r="L90" i="2" s="1"/>
  <c r="K91" i="2"/>
  <c r="L91" i="2" s="1"/>
  <c r="K87" i="2"/>
  <c r="L87" i="2" s="1"/>
  <c r="L75" i="2"/>
  <c r="K76" i="2"/>
  <c r="L76" i="2" s="1"/>
  <c r="K77" i="2"/>
  <c r="L77" i="2" s="1"/>
  <c r="K78" i="2"/>
  <c r="L78" i="2" s="1"/>
  <c r="K79" i="2"/>
  <c r="L79" i="2" s="1"/>
  <c r="K75" i="2"/>
  <c r="K64" i="2"/>
  <c r="L64" i="2" s="1"/>
  <c r="K65" i="2"/>
  <c r="L65" i="2" s="1"/>
  <c r="K66" i="2"/>
  <c r="L66" i="2" s="1"/>
  <c r="K67" i="2"/>
  <c r="L67" i="2" s="1"/>
  <c r="K63" i="2"/>
  <c r="L63" i="2" s="1"/>
  <c r="K52" i="2"/>
  <c r="L52" i="2" s="1"/>
  <c r="K53" i="2"/>
  <c r="L53" i="2" s="1"/>
  <c r="K54" i="2"/>
  <c r="L54" i="2" s="1"/>
  <c r="K55" i="2"/>
  <c r="L55" i="2" s="1"/>
  <c r="K51" i="2"/>
  <c r="L51" i="2" s="1"/>
  <c r="K40" i="2"/>
  <c r="L40" i="2" s="1"/>
  <c r="K41" i="2"/>
  <c r="L41" i="2" s="1"/>
  <c r="K42" i="2"/>
  <c r="L42" i="2" s="1"/>
  <c r="K43" i="2"/>
  <c r="L43" i="2" s="1"/>
  <c r="K39" i="2"/>
  <c r="L39" i="2" s="1"/>
  <c r="K28" i="2"/>
  <c r="L28" i="2" s="1"/>
  <c r="K29" i="2"/>
  <c r="L29" i="2" s="1"/>
  <c r="K30" i="2"/>
  <c r="L30" i="2" s="1"/>
  <c r="K31" i="2"/>
  <c r="L31" i="2" s="1"/>
  <c r="K27" i="2"/>
  <c r="L27" i="2" s="1"/>
  <c r="K16" i="2"/>
  <c r="L16" i="2" s="1"/>
  <c r="K17" i="2"/>
  <c r="L17" i="2" s="1"/>
  <c r="K18" i="2"/>
  <c r="L18" i="2" s="1"/>
  <c r="K19" i="2"/>
  <c r="L19" i="2" s="1"/>
  <c r="K15" i="2"/>
  <c r="L15" i="2" s="1"/>
  <c r="K4" i="2"/>
  <c r="L4" i="2" s="1"/>
  <c r="K5" i="2"/>
  <c r="L5" i="2" s="1"/>
  <c r="K6" i="2"/>
  <c r="L6" i="2" s="1"/>
  <c r="K7" i="2"/>
  <c r="L7" i="2" s="1"/>
  <c r="K3" i="2"/>
  <c r="L3" i="2" s="1"/>
  <c r="D88" i="2"/>
  <c r="E88" i="2" s="1"/>
  <c r="D89" i="2"/>
  <c r="E89" i="2" s="1"/>
  <c r="D90" i="2"/>
  <c r="E90" i="2" s="1"/>
  <c r="D91" i="2"/>
  <c r="E91" i="2" s="1"/>
  <c r="D87" i="2"/>
  <c r="E87" i="2" s="1"/>
  <c r="D76" i="2"/>
  <c r="E76" i="2" s="1"/>
  <c r="D77" i="2"/>
  <c r="E77" i="2" s="1"/>
  <c r="D78" i="2"/>
  <c r="E78" i="2" s="1"/>
  <c r="D79" i="2"/>
  <c r="E79" i="2" s="1"/>
  <c r="D75" i="2"/>
  <c r="E75" i="2" s="1"/>
  <c r="D52" i="2"/>
  <c r="E52" i="2" s="1"/>
  <c r="D53" i="2"/>
  <c r="E53" i="2" s="1"/>
  <c r="D54" i="2"/>
  <c r="E54" i="2" s="1"/>
  <c r="D55" i="2"/>
  <c r="E55" i="2" s="1"/>
  <c r="D51" i="2"/>
  <c r="E51" i="2" s="1"/>
  <c r="D40" i="2"/>
  <c r="E40" i="2" s="1"/>
  <c r="D41" i="2"/>
  <c r="E41" i="2" s="1"/>
  <c r="D42" i="2"/>
  <c r="E42" i="2" s="1"/>
  <c r="D43" i="2"/>
  <c r="E43" i="2" s="1"/>
  <c r="D39" i="2"/>
  <c r="E39" i="2" s="1"/>
  <c r="D64" i="2"/>
  <c r="E64" i="2" s="1"/>
  <c r="D65" i="2"/>
  <c r="E65" i="2" s="1"/>
  <c r="D66" i="2"/>
  <c r="E66" i="2" s="1"/>
  <c r="D67" i="2"/>
  <c r="E67" i="2" s="1"/>
  <c r="D63" i="2"/>
  <c r="E63" i="2" s="1"/>
  <c r="D28" i="2"/>
  <c r="D29" i="2"/>
  <c r="D30" i="2"/>
  <c r="D31" i="2"/>
  <c r="D27" i="2"/>
  <c r="D16" i="2"/>
  <c r="D17" i="2"/>
  <c r="D18" i="2"/>
  <c r="D19" i="2"/>
  <c r="D15" i="2"/>
  <c r="D4" i="2"/>
  <c r="D5" i="2"/>
  <c r="D6" i="2"/>
  <c r="D7" i="2"/>
  <c r="D3" i="2"/>
  <c r="B76" i="1"/>
  <c r="D76" i="1"/>
  <c r="D120" i="1"/>
  <c r="E120" i="1"/>
  <c r="B20" i="1"/>
  <c r="E121" i="1"/>
  <c r="B31" i="1" l="1"/>
  <c r="C76" i="1"/>
  <c r="C121" i="1"/>
  <c r="B121" i="1"/>
  <c r="E110" i="1"/>
  <c r="D110" i="1"/>
  <c r="C110" i="1"/>
  <c r="B110" i="1"/>
  <c r="E99" i="1"/>
  <c r="D99" i="1"/>
  <c r="C99" i="1"/>
  <c r="B98" i="1"/>
  <c r="B88" i="1"/>
  <c r="E88" i="1"/>
  <c r="D88" i="1"/>
  <c r="C88" i="1"/>
  <c r="E77" i="1"/>
  <c r="F77" i="1" s="1"/>
  <c r="G71" i="1" s="1"/>
  <c r="I71" i="1" s="1"/>
  <c r="F65" i="1"/>
  <c r="G59" i="1" s="1"/>
  <c r="I59" i="1" s="1"/>
  <c r="B53" i="1"/>
  <c r="E53" i="1"/>
  <c r="C42" i="1"/>
  <c r="E43" i="1"/>
  <c r="B42" i="1"/>
  <c r="E32" i="1"/>
  <c r="D32" i="1"/>
  <c r="C32" i="1"/>
  <c r="E20" i="1"/>
  <c r="D53" i="1"/>
  <c r="C53" i="1"/>
  <c r="F54" i="1"/>
  <c r="G48" i="1" s="1"/>
  <c r="I48" i="1" s="1"/>
  <c r="D43" i="1"/>
  <c r="D20" i="1"/>
  <c r="C20" i="1"/>
  <c r="C9" i="1"/>
  <c r="D9" i="1"/>
  <c r="E9" i="1"/>
  <c r="B9" i="1"/>
  <c r="F21" i="1"/>
  <c r="G16" i="1" s="1"/>
  <c r="I16" i="1" s="1"/>
  <c r="F10" i="1"/>
  <c r="G5" i="1" s="1"/>
  <c r="I5" i="1" s="1"/>
  <c r="F88" i="1" l="1"/>
  <c r="G83" i="1" s="1"/>
  <c r="I83" i="1" s="1"/>
  <c r="F99" i="1"/>
  <c r="G94" i="1" s="1"/>
  <c r="I94" i="1" s="1"/>
  <c r="F121" i="1"/>
  <c r="G116" i="1" s="1"/>
  <c r="I116" i="1" s="1"/>
  <c r="F110" i="1"/>
  <c r="G105" i="1" s="1"/>
  <c r="I105" i="1" s="1"/>
  <c r="F43" i="1"/>
  <c r="G38" i="1" s="1"/>
  <c r="I38" i="1" s="1"/>
  <c r="F32" i="1"/>
  <c r="G27" i="1" s="1"/>
  <c r="I27" i="1" s="1"/>
</calcChain>
</file>

<file path=xl/sharedStrings.xml><?xml version="1.0" encoding="utf-8"?>
<sst xmlns="http://schemas.openxmlformats.org/spreadsheetml/2006/main" count="635" uniqueCount="55">
  <si>
    <t>CSR</t>
  </si>
  <si>
    <t>GARV</t>
  </si>
  <si>
    <t>Algo1</t>
  </si>
  <si>
    <t>Algo2</t>
  </si>
  <si>
    <t>Algo3</t>
  </si>
  <si>
    <t>Auction Round 1</t>
  </si>
  <si>
    <t>Auction Round 2</t>
  </si>
  <si>
    <t>Auction Round 3</t>
  </si>
  <si>
    <t>Auction Round 4</t>
  </si>
  <si>
    <t>Auction Round 5</t>
  </si>
  <si>
    <t>PSR</t>
  </si>
  <si>
    <t>IEI</t>
  </si>
  <si>
    <t>IR</t>
  </si>
  <si>
    <t>AIV</t>
  </si>
  <si>
    <t>CVR</t>
  </si>
  <si>
    <t>ACC</t>
  </si>
  <si>
    <t>OPR</t>
  </si>
  <si>
    <t>AOP</t>
  </si>
  <si>
    <t>Makespan</t>
  </si>
  <si>
    <t>SW</t>
  </si>
  <si>
    <t>Friedman Chi-square statistic</t>
  </si>
  <si>
    <t>p-Value</t>
  </si>
  <si>
    <t>Rank Sum</t>
  </si>
  <si>
    <t>Rank Sum Squares</t>
  </si>
  <si>
    <t>Sum of Squares</t>
  </si>
  <si>
    <t>Significant</t>
  </si>
  <si>
    <t>Yes</t>
  </si>
  <si>
    <t>No</t>
  </si>
  <si>
    <t>Parameter</t>
  </si>
  <si>
    <t>Average Rank Sum</t>
  </si>
  <si>
    <t>.</t>
  </si>
  <si>
    <t>Rank Summary Table</t>
  </si>
  <si>
    <t>Friedman Test Results</t>
  </si>
  <si>
    <t xml:space="preserve">Chi-square </t>
  </si>
  <si>
    <t>Significant?</t>
  </si>
  <si>
    <t>Diff</t>
  </si>
  <si>
    <t>Rank</t>
  </si>
  <si>
    <t>Abs-Diff</t>
  </si>
  <si>
    <t>AR1</t>
  </si>
  <si>
    <t>AR2</t>
  </si>
  <si>
    <t>AR3</t>
  </si>
  <si>
    <t>AR4</t>
  </si>
  <si>
    <t>AR5</t>
  </si>
  <si>
    <t>W+</t>
  </si>
  <si>
    <t>W-</t>
  </si>
  <si>
    <t>is Sig?</t>
  </si>
  <si>
    <t>W</t>
  </si>
  <si>
    <t>Wilcoxon Test Results</t>
  </si>
  <si>
    <t>vs Algo1</t>
  </si>
  <si>
    <t>vs Algo2</t>
  </si>
  <si>
    <t>vs Algo3</t>
  </si>
  <si>
    <t>Yes*</t>
  </si>
  <si>
    <t>s</t>
  </si>
  <si>
    <t>Comparisons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</si>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</sst>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tabSelected="1" topLeftCell="A10" workbookViewId="0">
      <selection activeCell="V43" sqref="V43"/>
    </sheetView>
  </sheetViews>
  <sheetFormatPr defaultRowHeight="15" x14ac:dyDescent="0.25"/>
  <cols>
    <col min="1" max="1" width="17.28515625" style="1" bestFit="1" customWidth="1"/>
    <col min="2" max="5" width="9.140625" style="1"/>
    <col min="6" max="6" width="14.7109375" style="1" bestFit="1" customWidth="1"/>
    <col min="7" max="7" width="27.28515625" style="1" bestFit="1" customWidth="1"/>
    <col min="8" max="10" width="9.140625" style="1"/>
    <col min="11" max="11" width="10.85546875" style="1" customWidth="1"/>
    <col min="12" max="13" width="9.140625" style="1"/>
    <col min="14" max="14" width="15.85546875" style="1" bestFit="1" customWidth="1"/>
    <col min="15" max="15" width="12" style="1" bestFit="1" customWidth="1"/>
    <col min="16" max="16" width="9.140625" style="1"/>
    <col min="17" max="17" width="12" style="1" bestFit="1" customWidth="1"/>
    <col min="18" max="19" width="9.140625" style="1"/>
    <col min="20" max="20" width="10.28515625" style="1" bestFit="1" customWidth="1"/>
    <col min="21" max="21" width="8.28515625" style="1" bestFit="1" customWidth="1"/>
    <col min="22" max="25" width="9.140625" style="1"/>
    <col min="26" max="26" width="14.7109375" style="1" bestFit="1" customWidth="1"/>
    <col min="27" max="16384" width="9.140625" style="1"/>
  </cols>
  <sheetData>
    <row r="1" spans="1:25" x14ac:dyDescent="0.25">
      <c r="B1" s="3" t="s">
        <v>0</v>
      </c>
      <c r="C1" s="3"/>
      <c r="D1" s="3"/>
      <c r="E1" s="3"/>
      <c r="N1" s="3" t="s">
        <v>31</v>
      </c>
      <c r="O1" s="3"/>
      <c r="P1" s="3"/>
      <c r="Q1" s="3"/>
      <c r="R1" s="3"/>
    </row>
    <row r="2" spans="1:25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24</v>
      </c>
      <c r="G2" s="1" t="s">
        <v>20</v>
      </c>
      <c r="I2" s="1" t="s">
        <v>21</v>
      </c>
      <c r="K2" s="1" t="s">
        <v>25</v>
      </c>
      <c r="N2" s="1" t="s">
        <v>28</v>
      </c>
      <c r="O2" s="1" t="s">
        <v>1</v>
      </c>
      <c r="P2" s="1" t="s">
        <v>2</v>
      </c>
      <c r="Q2" s="1" t="s">
        <v>3</v>
      </c>
      <c r="R2" s="1" t="s">
        <v>4</v>
      </c>
      <c r="Y2" s="1" t="s">
        <v>30</v>
      </c>
    </row>
    <row r="3" spans="1:25" x14ac:dyDescent="0.25">
      <c r="A3" s="1" t="s">
        <v>5</v>
      </c>
      <c r="B3" s="1">
        <v>1</v>
      </c>
      <c r="C3" s="1">
        <v>3</v>
      </c>
      <c r="D3" s="1">
        <v>4</v>
      </c>
      <c r="E3" s="1">
        <v>2</v>
      </c>
      <c r="N3" s="1" t="s">
        <v>0</v>
      </c>
      <c r="O3" s="1">
        <v>1</v>
      </c>
      <c r="P3" s="1">
        <v>2.2000000000000002</v>
      </c>
      <c r="Q3" s="1">
        <v>3.8</v>
      </c>
      <c r="R3" s="1">
        <v>3</v>
      </c>
    </row>
    <row r="4" spans="1:25" x14ac:dyDescent="0.25">
      <c r="A4" s="1" t="s">
        <v>6</v>
      </c>
      <c r="B4" s="1">
        <v>1</v>
      </c>
      <c r="C4" s="1">
        <v>2</v>
      </c>
      <c r="D4" s="1">
        <v>3</v>
      </c>
      <c r="E4" s="1">
        <v>4</v>
      </c>
      <c r="N4" s="1" t="s">
        <v>10</v>
      </c>
      <c r="O4" s="1">
        <v>1</v>
      </c>
      <c r="P4" s="1">
        <v>2.1</v>
      </c>
      <c r="Q4" s="1">
        <v>3.3</v>
      </c>
      <c r="R4" s="1">
        <v>3.6</v>
      </c>
    </row>
    <row r="5" spans="1:25" x14ac:dyDescent="0.25">
      <c r="A5" s="1" t="s">
        <v>7</v>
      </c>
      <c r="B5" s="1">
        <v>1</v>
      </c>
      <c r="C5" s="1">
        <v>2</v>
      </c>
      <c r="D5" s="1">
        <v>4</v>
      </c>
      <c r="E5" s="1">
        <v>3</v>
      </c>
      <c r="G5" s="1">
        <f>(12/(5*4*(4+1)))*(F10)-(3*5*(4+1))</f>
        <v>12.840000000000003</v>
      </c>
      <c r="I5" s="1">
        <f>_xlfn.CHISQ.DIST.RT(G5,3)</f>
        <v>4.9957060439281848E-3</v>
      </c>
      <c r="K5" s="1" t="s">
        <v>26</v>
      </c>
      <c r="N5" s="1" t="s">
        <v>12</v>
      </c>
      <c r="O5" s="1">
        <v>1.4</v>
      </c>
      <c r="P5" s="1">
        <v>1.6</v>
      </c>
      <c r="Q5" s="1">
        <v>3.8</v>
      </c>
      <c r="R5" s="1">
        <v>3.2</v>
      </c>
    </row>
    <row r="6" spans="1:25" x14ac:dyDescent="0.25">
      <c r="A6" s="1" t="s">
        <v>8</v>
      </c>
      <c r="B6" s="1">
        <v>1</v>
      </c>
      <c r="C6" s="1">
        <v>2</v>
      </c>
      <c r="D6" s="1">
        <v>4</v>
      </c>
      <c r="E6" s="1">
        <v>3</v>
      </c>
      <c r="N6" s="1" t="s">
        <v>13</v>
      </c>
      <c r="O6" s="1">
        <v>1.4</v>
      </c>
      <c r="P6" s="1">
        <v>2</v>
      </c>
      <c r="Q6" s="1">
        <v>3.8</v>
      </c>
      <c r="R6" s="1">
        <v>2.8</v>
      </c>
    </row>
    <row r="7" spans="1:25" x14ac:dyDescent="0.25">
      <c r="A7" s="1" t="s">
        <v>9</v>
      </c>
      <c r="B7" s="1">
        <v>1</v>
      </c>
      <c r="C7" s="1">
        <v>2</v>
      </c>
      <c r="D7" s="1">
        <v>4</v>
      </c>
      <c r="E7" s="1">
        <v>3</v>
      </c>
      <c r="N7" s="1" t="s">
        <v>11</v>
      </c>
      <c r="O7" s="1">
        <v>1.6</v>
      </c>
      <c r="P7" s="1">
        <v>1.8</v>
      </c>
      <c r="Q7" s="1">
        <v>3.8</v>
      </c>
      <c r="R7" s="1">
        <v>2.8</v>
      </c>
    </row>
    <row r="8" spans="1:25" x14ac:dyDescent="0.25">
      <c r="A8" s="1" t="s">
        <v>22</v>
      </c>
      <c r="B8" s="1">
        <f>SUM(B3:B7)</f>
        <v>5</v>
      </c>
      <c r="C8" s="1">
        <f t="shared" ref="C8:E8" si="0">SUM(C3:C7)</f>
        <v>11</v>
      </c>
      <c r="D8" s="1">
        <f t="shared" si="0"/>
        <v>19</v>
      </c>
      <c r="E8" s="1">
        <f t="shared" si="0"/>
        <v>15</v>
      </c>
      <c r="N8" s="1" t="s">
        <v>14</v>
      </c>
      <c r="O8" s="1">
        <v>1</v>
      </c>
      <c r="P8" s="1">
        <v>4</v>
      </c>
      <c r="Q8" s="1">
        <v>3</v>
      </c>
      <c r="R8" s="1">
        <v>2</v>
      </c>
    </row>
    <row r="9" spans="1:25" x14ac:dyDescent="0.25">
      <c r="A9" s="1" t="s">
        <v>29</v>
      </c>
      <c r="B9" s="1">
        <f>B8/5</f>
        <v>1</v>
      </c>
      <c r="C9" s="1">
        <f t="shared" ref="C9:E9" si="1">C8/5</f>
        <v>2.2000000000000002</v>
      </c>
      <c r="D9" s="1">
        <f t="shared" si="1"/>
        <v>3.8</v>
      </c>
      <c r="E9" s="1">
        <f t="shared" si="1"/>
        <v>3</v>
      </c>
      <c r="N9" s="1" t="s">
        <v>15</v>
      </c>
      <c r="O9" s="1">
        <v>4</v>
      </c>
      <c r="P9" s="1">
        <v>1.2</v>
      </c>
      <c r="Q9" s="1">
        <v>3</v>
      </c>
      <c r="R9" s="1">
        <v>1.8</v>
      </c>
    </row>
    <row r="10" spans="1:25" x14ac:dyDescent="0.25">
      <c r="A10" s="1" t="s">
        <v>23</v>
      </c>
      <c r="B10" s="1">
        <f>B8*B8</f>
        <v>25</v>
      </c>
      <c r="C10" s="1">
        <f t="shared" ref="C10:E10" si="2">C8*C8</f>
        <v>121</v>
      </c>
      <c r="D10" s="1">
        <f t="shared" si="2"/>
        <v>361</v>
      </c>
      <c r="E10" s="1">
        <f t="shared" si="2"/>
        <v>225</v>
      </c>
      <c r="F10" s="1">
        <f>SUM(B10:E10)</f>
        <v>732</v>
      </c>
      <c r="N10" s="1" t="s">
        <v>16</v>
      </c>
      <c r="O10" s="1">
        <v>1.6</v>
      </c>
      <c r="P10" s="1">
        <v>1.6</v>
      </c>
      <c r="Q10" s="1">
        <v>2.8</v>
      </c>
      <c r="R10" s="1">
        <v>4</v>
      </c>
    </row>
    <row r="11" spans="1:25" x14ac:dyDescent="0.25">
      <c r="N11" s="1" t="s">
        <v>17</v>
      </c>
      <c r="O11" s="1">
        <v>1.8</v>
      </c>
      <c r="P11" s="1">
        <v>2</v>
      </c>
      <c r="Q11" s="1">
        <v>2.4</v>
      </c>
      <c r="R11" s="1">
        <v>3.8</v>
      </c>
    </row>
    <row r="12" spans="1:25" x14ac:dyDescent="0.25">
      <c r="B12" s="3" t="s">
        <v>10</v>
      </c>
      <c r="C12" s="3"/>
      <c r="D12" s="3"/>
      <c r="E12" s="3"/>
      <c r="N12" s="1" t="s">
        <v>18</v>
      </c>
      <c r="O12" s="1">
        <v>1.2</v>
      </c>
      <c r="P12" s="1">
        <v>3.2</v>
      </c>
      <c r="Q12" s="1">
        <v>3.2</v>
      </c>
      <c r="R12" s="1">
        <v>2.4</v>
      </c>
    </row>
    <row r="13" spans="1:25" x14ac:dyDescent="0.25">
      <c r="B13" s="1" t="s">
        <v>1</v>
      </c>
      <c r="C13" s="1" t="s">
        <v>2</v>
      </c>
      <c r="D13" s="1" t="s">
        <v>3</v>
      </c>
      <c r="E13" s="1" t="s">
        <v>4</v>
      </c>
      <c r="N13" s="1" t="s">
        <v>19</v>
      </c>
      <c r="O13" s="1">
        <v>2.2000000000000002</v>
      </c>
      <c r="P13" s="1">
        <v>2</v>
      </c>
      <c r="Q13" s="1">
        <v>3</v>
      </c>
      <c r="R13" s="1">
        <v>2.8</v>
      </c>
    </row>
    <row r="14" spans="1:25" x14ac:dyDescent="0.25">
      <c r="A14" s="1" t="s">
        <v>5</v>
      </c>
      <c r="B14" s="1">
        <v>1</v>
      </c>
      <c r="C14" s="1">
        <v>2.5</v>
      </c>
      <c r="D14" s="1">
        <v>2.5</v>
      </c>
      <c r="E14" s="1">
        <v>4</v>
      </c>
      <c r="N14" s="1" t="s">
        <v>54</v>
      </c>
      <c r="O14" s="1">
        <f>AVERAGE(O3:O13)</f>
        <v>1.6545454545454545</v>
      </c>
      <c r="P14" s="1">
        <f t="shared" ref="P14:R14" si="3">AVERAGE(P3:P13)</f>
        <v>2.1545454545454543</v>
      </c>
      <c r="Q14" s="1">
        <f t="shared" si="3"/>
        <v>3.2636363636363637</v>
      </c>
      <c r="R14" s="1">
        <f t="shared" si="3"/>
        <v>2.9272727272727277</v>
      </c>
    </row>
    <row r="15" spans="1:25" x14ac:dyDescent="0.25">
      <c r="A15" s="1" t="s">
        <v>6</v>
      </c>
      <c r="B15" s="1">
        <v>1</v>
      </c>
      <c r="C15" s="1">
        <v>2</v>
      </c>
      <c r="D15" s="1">
        <v>3</v>
      </c>
      <c r="E15" s="1">
        <v>4</v>
      </c>
    </row>
    <row r="16" spans="1:25" x14ac:dyDescent="0.25">
      <c r="A16" s="1" t="s">
        <v>7</v>
      </c>
      <c r="B16" s="1">
        <v>1</v>
      </c>
      <c r="C16" s="1">
        <v>2</v>
      </c>
      <c r="D16" s="1">
        <v>3</v>
      </c>
      <c r="E16" s="1">
        <v>4</v>
      </c>
      <c r="G16" s="1">
        <f>(12/(5*4*(4+1)))*(F21)-(3*5*(4+1))</f>
        <v>12.780000000000001</v>
      </c>
      <c r="I16" s="1">
        <f>_xlfn.CHISQ.DIST.RT(G16,3)</f>
        <v>5.1373484738063474E-3</v>
      </c>
      <c r="K16" s="1" t="s">
        <v>26</v>
      </c>
    </row>
    <row r="17" spans="1:27" x14ac:dyDescent="0.25">
      <c r="A17" s="1" t="s">
        <v>8</v>
      </c>
      <c r="B17" s="1">
        <v>1</v>
      </c>
      <c r="C17" s="1">
        <v>2</v>
      </c>
      <c r="D17" s="1">
        <v>4</v>
      </c>
      <c r="E17" s="1">
        <v>3</v>
      </c>
      <c r="N17" s="3" t="s">
        <v>32</v>
      </c>
      <c r="O17" s="3"/>
      <c r="P17" s="3"/>
      <c r="Q17" s="3"/>
      <c r="T17" s="3" t="s">
        <v>47</v>
      </c>
      <c r="U17" s="3"/>
      <c r="V17" s="3"/>
      <c r="W17" s="3"/>
    </row>
    <row r="18" spans="1:27" x14ac:dyDescent="0.25">
      <c r="A18" s="1" t="s">
        <v>9</v>
      </c>
      <c r="B18" s="1">
        <v>1</v>
      </c>
      <c r="C18" s="1">
        <v>2</v>
      </c>
      <c r="D18" s="1">
        <v>4</v>
      </c>
      <c r="E18" s="1">
        <v>3</v>
      </c>
      <c r="N18" s="1" t="s">
        <v>28</v>
      </c>
      <c r="O18" s="1" t="s">
        <v>33</v>
      </c>
      <c r="P18" s="1" t="s">
        <v>21</v>
      </c>
      <c r="Q18" s="1" t="s">
        <v>34</v>
      </c>
      <c r="T18" s="1" t="s">
        <v>28</v>
      </c>
      <c r="U18" s="1" t="s">
        <v>48</v>
      </c>
      <c r="V18" s="1" t="s">
        <v>49</v>
      </c>
      <c r="W18" s="1" t="s">
        <v>50</v>
      </c>
      <c r="Z18" s="1" t="s">
        <v>53</v>
      </c>
      <c r="AA18" s="1">
        <v>27</v>
      </c>
    </row>
    <row r="19" spans="1:27" x14ac:dyDescent="0.25">
      <c r="A19" s="1" t="s">
        <v>22</v>
      </c>
      <c r="B19" s="1">
        <f>SUM(B14:B18)</f>
        <v>5</v>
      </c>
      <c r="C19" s="1">
        <f t="shared" ref="C19:E19" si="4">SUM(C14:C18)</f>
        <v>10.5</v>
      </c>
      <c r="D19" s="1">
        <f t="shared" si="4"/>
        <v>16.5</v>
      </c>
      <c r="E19" s="1">
        <f t="shared" si="4"/>
        <v>18</v>
      </c>
      <c r="N19" s="1" t="s">
        <v>0</v>
      </c>
      <c r="O19" s="1">
        <v>12.840000000000003</v>
      </c>
      <c r="P19" s="1">
        <v>4.8999999999999998E-3</v>
      </c>
      <c r="Q19" s="1" t="s">
        <v>26</v>
      </c>
      <c r="T19" s="1" t="s">
        <v>0</v>
      </c>
      <c r="U19" s="1" t="s">
        <v>26</v>
      </c>
      <c r="V19" s="1" t="s">
        <v>26</v>
      </c>
      <c r="W19" s="1" t="s">
        <v>26</v>
      </c>
      <c r="Z19" s="1" t="s">
        <v>26</v>
      </c>
      <c r="AA19" s="1">
        <v>19</v>
      </c>
    </row>
    <row r="20" spans="1:27" x14ac:dyDescent="0.25">
      <c r="A20" s="1" t="s">
        <v>29</v>
      </c>
      <c r="B20" s="1">
        <f>B19/5</f>
        <v>1</v>
      </c>
      <c r="C20" s="1">
        <f t="shared" ref="C20:E20" si="5">C19/5</f>
        <v>2.1</v>
      </c>
      <c r="D20" s="1">
        <f t="shared" si="5"/>
        <v>3.3</v>
      </c>
      <c r="E20" s="1">
        <f t="shared" si="5"/>
        <v>3.6</v>
      </c>
      <c r="N20" s="1" t="s">
        <v>10</v>
      </c>
      <c r="O20" s="1">
        <v>12.780000000000001</v>
      </c>
      <c r="P20" s="1">
        <v>5.0000000000000001E-3</v>
      </c>
      <c r="Q20" s="1" t="s">
        <v>26</v>
      </c>
      <c r="T20" s="1" t="s">
        <v>10</v>
      </c>
      <c r="U20" s="1" t="s">
        <v>26</v>
      </c>
      <c r="V20" s="1" t="s">
        <v>26</v>
      </c>
      <c r="W20" s="1" t="s">
        <v>26</v>
      </c>
      <c r="Z20" s="1" t="s">
        <v>27</v>
      </c>
      <c r="AA20" s="1">
        <v>5</v>
      </c>
    </row>
    <row r="21" spans="1:27" x14ac:dyDescent="0.25">
      <c r="A21" s="1" t="s">
        <v>23</v>
      </c>
      <c r="B21" s="1">
        <f>B19*B19</f>
        <v>25</v>
      </c>
      <c r="C21" s="1">
        <f t="shared" ref="C21:E21" si="6">C19*C19</f>
        <v>110.25</v>
      </c>
      <c r="D21" s="1">
        <f t="shared" si="6"/>
        <v>272.25</v>
      </c>
      <c r="E21" s="1">
        <f t="shared" si="6"/>
        <v>324</v>
      </c>
      <c r="F21" s="1">
        <f>SUM(B21:E21)</f>
        <v>731.5</v>
      </c>
      <c r="N21" s="1" t="s">
        <v>12</v>
      </c>
      <c r="O21" s="1">
        <v>12.599999999999994</v>
      </c>
      <c r="P21" s="1">
        <v>5.0000000000000001E-3</v>
      </c>
      <c r="Q21" s="1" t="s">
        <v>26</v>
      </c>
      <c r="T21" s="1" t="s">
        <v>12</v>
      </c>
      <c r="U21" s="1" t="s">
        <v>27</v>
      </c>
      <c r="V21" s="1" t="s">
        <v>26</v>
      </c>
      <c r="W21" s="1" t="s">
        <v>26</v>
      </c>
      <c r="Z21" s="1" t="s">
        <v>51</v>
      </c>
      <c r="AA21" s="1">
        <v>3</v>
      </c>
    </row>
    <row r="22" spans="1:27" x14ac:dyDescent="0.25">
      <c r="N22" s="1" t="s">
        <v>13</v>
      </c>
      <c r="O22" s="1">
        <v>9.7199999999999989</v>
      </c>
      <c r="P22" s="1">
        <v>2.1000000000000001E-2</v>
      </c>
      <c r="Q22" s="1" t="s">
        <v>26</v>
      </c>
      <c r="T22" s="1" t="s">
        <v>13</v>
      </c>
      <c r="U22" s="1" t="s">
        <v>27</v>
      </c>
      <c r="V22" s="1" t="s">
        <v>26</v>
      </c>
      <c r="W22" s="1" t="s">
        <v>26</v>
      </c>
    </row>
    <row r="23" spans="1:27" x14ac:dyDescent="0.25">
      <c r="B23" s="3" t="s">
        <v>12</v>
      </c>
      <c r="C23" s="3"/>
      <c r="D23" s="3"/>
      <c r="E23" s="3"/>
      <c r="N23" s="1" t="s">
        <v>11</v>
      </c>
      <c r="O23" s="1">
        <v>9.2399999999999949</v>
      </c>
      <c r="P23" s="1">
        <v>2.5999999999999999E-2</v>
      </c>
      <c r="Q23" s="1" t="s">
        <v>26</v>
      </c>
      <c r="T23" s="1" t="s">
        <v>11</v>
      </c>
      <c r="U23" s="1" t="s">
        <v>27</v>
      </c>
      <c r="V23" s="1" t="s">
        <v>26</v>
      </c>
      <c r="W23" s="1" t="s">
        <v>26</v>
      </c>
    </row>
    <row r="24" spans="1:27" x14ac:dyDescent="0.25">
      <c r="B24" s="1" t="s">
        <v>1</v>
      </c>
      <c r="C24" s="1" t="s">
        <v>2</v>
      </c>
      <c r="D24" s="1" t="s">
        <v>3</v>
      </c>
      <c r="E24" s="1" t="s">
        <v>4</v>
      </c>
      <c r="N24" s="1" t="s">
        <v>14</v>
      </c>
      <c r="O24" s="1">
        <v>12.11999999999999</v>
      </c>
      <c r="P24" s="1">
        <v>6.0000000000000001E-3</v>
      </c>
      <c r="Q24" s="1" t="s">
        <v>26</v>
      </c>
      <c r="T24" s="1" t="s">
        <v>14</v>
      </c>
      <c r="U24" s="1" t="s">
        <v>26</v>
      </c>
      <c r="V24" s="1" t="s">
        <v>26</v>
      </c>
      <c r="W24" s="1" t="s">
        <v>26</v>
      </c>
    </row>
    <row r="25" spans="1:27" x14ac:dyDescent="0.25">
      <c r="A25" s="1" t="s">
        <v>5</v>
      </c>
      <c r="B25" s="1">
        <v>2</v>
      </c>
      <c r="C25" s="1">
        <v>1</v>
      </c>
      <c r="D25" s="1">
        <v>4</v>
      </c>
      <c r="E25" s="1">
        <v>3</v>
      </c>
      <c r="N25" s="1" t="s">
        <v>15</v>
      </c>
      <c r="O25" s="1">
        <v>14.039999999999992</v>
      </c>
      <c r="P25" s="1">
        <v>2E-3</v>
      </c>
      <c r="Q25" s="1" t="s">
        <v>26</v>
      </c>
      <c r="T25" s="1" t="s">
        <v>15</v>
      </c>
      <c r="U25" s="1" t="s">
        <v>51</v>
      </c>
      <c r="V25" s="1" t="s">
        <v>51</v>
      </c>
      <c r="W25" s="1" t="s">
        <v>51</v>
      </c>
    </row>
    <row r="26" spans="1:27" x14ac:dyDescent="0.25">
      <c r="A26" s="1" t="s">
        <v>6</v>
      </c>
      <c r="B26" s="1">
        <v>1</v>
      </c>
      <c r="C26" s="1">
        <v>2</v>
      </c>
      <c r="D26" s="1">
        <v>3</v>
      </c>
      <c r="E26" s="1">
        <v>4</v>
      </c>
      <c r="N26" s="1" t="s">
        <v>16</v>
      </c>
      <c r="O26" s="1">
        <v>11.879999999999995</v>
      </c>
      <c r="P26" s="1">
        <v>7.0000000000000001E-3</v>
      </c>
      <c r="Q26" s="1" t="s">
        <v>26</v>
      </c>
      <c r="T26" s="1" t="s">
        <v>16</v>
      </c>
      <c r="U26" s="1" t="s">
        <v>27</v>
      </c>
      <c r="V26" s="1" t="s">
        <v>26</v>
      </c>
      <c r="W26" s="1" t="s">
        <v>26</v>
      </c>
    </row>
    <row r="27" spans="1:27" x14ac:dyDescent="0.25">
      <c r="A27" s="1" t="s">
        <v>7</v>
      </c>
      <c r="B27" s="1">
        <v>1</v>
      </c>
      <c r="C27" s="1">
        <v>2</v>
      </c>
      <c r="D27" s="1">
        <v>4</v>
      </c>
      <c r="E27" s="1">
        <v>3</v>
      </c>
      <c r="G27" s="1">
        <f>(12/(5*4*(4+1)))*(F32)-(3*5*(4+1))</f>
        <v>12.599999999999994</v>
      </c>
      <c r="I27" s="1">
        <f>_xlfn.CHISQ.DIST.RT(G27,3)</f>
        <v>5.5865460973024096E-3</v>
      </c>
      <c r="K27" s="1" t="s">
        <v>26</v>
      </c>
      <c r="N27" s="1" t="s">
        <v>17</v>
      </c>
      <c r="O27" s="1">
        <v>7.3199999999999932</v>
      </c>
      <c r="P27" s="1">
        <v>6.2E-2</v>
      </c>
      <c r="Q27" s="1" t="s">
        <v>27</v>
      </c>
      <c r="T27" s="1" t="s">
        <v>18</v>
      </c>
      <c r="U27" s="1" t="s">
        <v>26</v>
      </c>
      <c r="V27" s="1" t="s">
        <v>26</v>
      </c>
      <c r="W27" s="1" t="s">
        <v>27</v>
      </c>
    </row>
    <row r="28" spans="1:27" x14ac:dyDescent="0.25">
      <c r="A28" s="1" t="s">
        <v>8</v>
      </c>
      <c r="B28" s="1">
        <v>2</v>
      </c>
      <c r="C28" s="1">
        <v>1</v>
      </c>
      <c r="D28" s="1">
        <v>4</v>
      </c>
      <c r="E28" s="1">
        <v>3</v>
      </c>
      <c r="N28" s="1" t="s">
        <v>18</v>
      </c>
      <c r="O28" s="1">
        <v>8.039999999999992</v>
      </c>
      <c r="P28" s="1">
        <v>4.4999999999999998E-2</v>
      </c>
      <c r="Q28" s="1" t="s">
        <v>26</v>
      </c>
    </row>
    <row r="29" spans="1:27" x14ac:dyDescent="0.25">
      <c r="A29" s="1" t="s">
        <v>9</v>
      </c>
      <c r="B29" s="1">
        <v>1</v>
      </c>
      <c r="C29" s="1">
        <v>2</v>
      </c>
      <c r="D29" s="1">
        <v>4</v>
      </c>
      <c r="E29" s="1">
        <v>3</v>
      </c>
      <c r="N29" s="1" t="s">
        <v>19</v>
      </c>
      <c r="O29" s="1">
        <v>2.04</v>
      </c>
      <c r="P29" s="1">
        <v>0.56399999999999995</v>
      </c>
      <c r="Q29" s="1" t="s">
        <v>27</v>
      </c>
    </row>
    <row r="30" spans="1:27" x14ac:dyDescent="0.25">
      <c r="A30" s="1" t="s">
        <v>22</v>
      </c>
      <c r="B30" s="1">
        <f>SUM(B25:B29)</f>
        <v>7</v>
      </c>
      <c r="C30" s="1">
        <f t="shared" ref="C30:E30" si="7">SUM(C25:C29)</f>
        <v>8</v>
      </c>
      <c r="D30" s="1">
        <f t="shared" si="7"/>
        <v>19</v>
      </c>
      <c r="E30" s="1">
        <f t="shared" si="7"/>
        <v>16</v>
      </c>
    </row>
    <row r="31" spans="1:27" x14ac:dyDescent="0.25">
      <c r="A31" s="1" t="s">
        <v>29</v>
      </c>
      <c r="B31" s="1">
        <f>B30/5</f>
        <v>1.4</v>
      </c>
      <c r="C31" s="1">
        <f t="shared" ref="C31:E31" si="8">C30/5</f>
        <v>1.6</v>
      </c>
      <c r="D31" s="1">
        <f t="shared" si="8"/>
        <v>3.8</v>
      </c>
      <c r="E31" s="1">
        <f t="shared" si="8"/>
        <v>3.2</v>
      </c>
    </row>
    <row r="32" spans="1:27" x14ac:dyDescent="0.25">
      <c r="A32" s="1" t="s">
        <v>23</v>
      </c>
      <c r="B32" s="1">
        <f>B30*B30</f>
        <v>49</v>
      </c>
      <c r="C32" s="1">
        <f t="shared" ref="C32:E32" si="9">C30*C30</f>
        <v>64</v>
      </c>
      <c r="D32" s="1">
        <f t="shared" si="9"/>
        <v>361</v>
      </c>
      <c r="E32" s="1">
        <f t="shared" si="9"/>
        <v>256</v>
      </c>
      <c r="F32" s="1">
        <f>SUM(B32:E32)</f>
        <v>730</v>
      </c>
    </row>
    <row r="34" spans="1:23" x14ac:dyDescent="0.25">
      <c r="B34" s="3" t="s">
        <v>13</v>
      </c>
      <c r="C34" s="3"/>
      <c r="D34" s="3"/>
      <c r="E34" s="3"/>
    </row>
    <row r="35" spans="1:23" x14ac:dyDescent="0.25">
      <c r="B35" s="1" t="s">
        <v>1</v>
      </c>
      <c r="C35" s="1" t="s">
        <v>2</v>
      </c>
      <c r="D35" s="1" t="s">
        <v>3</v>
      </c>
      <c r="E35" s="1" t="s">
        <v>4</v>
      </c>
    </row>
    <row r="36" spans="1:23" x14ac:dyDescent="0.25">
      <c r="A36" s="1" t="s">
        <v>5</v>
      </c>
      <c r="B36" s="1">
        <v>1</v>
      </c>
      <c r="C36" s="1">
        <v>2</v>
      </c>
      <c r="D36" s="1">
        <v>4</v>
      </c>
      <c r="E36" s="1">
        <v>3</v>
      </c>
    </row>
    <row r="37" spans="1:23" x14ac:dyDescent="0.25">
      <c r="A37" s="1" t="s">
        <v>6</v>
      </c>
      <c r="B37" s="1">
        <v>1</v>
      </c>
      <c r="C37" s="1">
        <v>4</v>
      </c>
      <c r="D37" s="1">
        <v>3</v>
      </c>
      <c r="E37" s="1">
        <v>2</v>
      </c>
    </row>
    <row r="38" spans="1:23" x14ac:dyDescent="0.25">
      <c r="A38" s="1" t="s">
        <v>7</v>
      </c>
      <c r="B38" s="1">
        <v>1</v>
      </c>
      <c r="C38" s="1">
        <v>2</v>
      </c>
      <c r="D38" s="1">
        <v>4</v>
      </c>
      <c r="E38" s="1">
        <v>3</v>
      </c>
      <c r="G38" s="1">
        <f>(12/(5*4*(4+1)))*(F43)-(3*5*(4+1))</f>
        <v>9.7199999999999989</v>
      </c>
      <c r="I38" s="1">
        <f>_xlfn.CHISQ.DIST.RT(G38,3)</f>
        <v>2.110251241410023E-2</v>
      </c>
      <c r="K38" s="1" t="s">
        <v>26</v>
      </c>
    </row>
    <row r="39" spans="1:23" x14ac:dyDescent="0.25">
      <c r="A39" s="1" t="s">
        <v>8</v>
      </c>
      <c r="B39" s="1">
        <v>2</v>
      </c>
      <c r="C39" s="1">
        <v>1</v>
      </c>
      <c r="D39" s="1">
        <v>4</v>
      </c>
      <c r="E39" s="1">
        <v>3</v>
      </c>
    </row>
    <row r="40" spans="1:23" x14ac:dyDescent="0.25">
      <c r="A40" s="1" t="s">
        <v>9</v>
      </c>
      <c r="B40" s="1">
        <v>2</v>
      </c>
      <c r="C40" s="1">
        <v>1</v>
      </c>
      <c r="D40" s="1">
        <v>4</v>
      </c>
      <c r="E40" s="1">
        <v>3</v>
      </c>
    </row>
    <row r="41" spans="1:23" x14ac:dyDescent="0.25">
      <c r="A41" s="1" t="s">
        <v>22</v>
      </c>
      <c r="B41" s="1">
        <f>SUM(B36:B40)</f>
        <v>7</v>
      </c>
      <c r="C41" s="1">
        <f t="shared" ref="C41:E41" si="10">SUM(C36:C40)</f>
        <v>10</v>
      </c>
      <c r="D41" s="1">
        <f t="shared" si="10"/>
        <v>19</v>
      </c>
      <c r="E41" s="1">
        <f t="shared" si="10"/>
        <v>14</v>
      </c>
    </row>
    <row r="42" spans="1:23" x14ac:dyDescent="0.25">
      <c r="A42" s="1" t="s">
        <v>29</v>
      </c>
      <c r="B42" s="1">
        <f>B41/5</f>
        <v>1.4</v>
      </c>
      <c r="C42" s="1">
        <f t="shared" ref="C42:E42" si="11">C41/5</f>
        <v>2</v>
      </c>
      <c r="D42" s="1">
        <f t="shared" si="11"/>
        <v>3.8</v>
      </c>
      <c r="E42" s="1">
        <f t="shared" si="11"/>
        <v>2.8</v>
      </c>
      <c r="W42" s="1" t="s">
        <v>52</v>
      </c>
    </row>
    <row r="43" spans="1:23" x14ac:dyDescent="0.25">
      <c r="A43" s="1" t="s">
        <v>23</v>
      </c>
      <c r="B43" s="1">
        <f>B41*B41</f>
        <v>49</v>
      </c>
      <c r="C43" s="1">
        <f t="shared" ref="C43:E43" si="12">C41*C41</f>
        <v>100</v>
      </c>
      <c r="D43" s="1">
        <f t="shared" si="12"/>
        <v>361</v>
      </c>
      <c r="E43" s="1">
        <f t="shared" si="12"/>
        <v>196</v>
      </c>
      <c r="F43" s="1">
        <f>SUM(B43:E43)</f>
        <v>706</v>
      </c>
    </row>
    <row r="45" spans="1:23" x14ac:dyDescent="0.25">
      <c r="B45" s="3" t="s">
        <v>11</v>
      </c>
      <c r="C45" s="3"/>
      <c r="D45" s="3"/>
      <c r="E45" s="3"/>
    </row>
    <row r="46" spans="1:23" x14ac:dyDescent="0.25">
      <c r="B46" s="1" t="s">
        <v>1</v>
      </c>
      <c r="C46" s="1" t="s">
        <v>2</v>
      </c>
      <c r="D46" s="1" t="s">
        <v>3</v>
      </c>
      <c r="E46" s="1" t="s">
        <v>4</v>
      </c>
    </row>
    <row r="47" spans="1:23" x14ac:dyDescent="0.25">
      <c r="A47" s="1" t="s">
        <v>5</v>
      </c>
      <c r="B47" s="1">
        <v>2</v>
      </c>
      <c r="C47" s="1">
        <v>1</v>
      </c>
      <c r="D47" s="1">
        <v>4</v>
      </c>
      <c r="E47" s="1">
        <v>3</v>
      </c>
    </row>
    <row r="48" spans="1:23" x14ac:dyDescent="0.25">
      <c r="A48" s="1" t="s">
        <v>6</v>
      </c>
      <c r="B48" s="1">
        <v>1</v>
      </c>
      <c r="C48" s="1">
        <v>4</v>
      </c>
      <c r="D48" s="1">
        <v>3</v>
      </c>
      <c r="E48" s="1">
        <v>2</v>
      </c>
      <c r="G48" s="1">
        <f>(12/(5*4*(4+1)))*(F54)-(3*5*(4+1))</f>
        <v>9.2399999999999949</v>
      </c>
      <c r="I48" s="1">
        <f>_xlfn.CHISQ.DIST.RT(G48,3)</f>
        <v>2.6264417987090696E-2</v>
      </c>
      <c r="K48" s="1" t="s">
        <v>26</v>
      </c>
    </row>
    <row r="49" spans="1:11" x14ac:dyDescent="0.25">
      <c r="A49" s="1" t="s">
        <v>7</v>
      </c>
      <c r="B49" s="1">
        <v>1</v>
      </c>
      <c r="C49" s="1">
        <v>2</v>
      </c>
      <c r="D49" s="1">
        <v>4</v>
      </c>
      <c r="E49" s="1">
        <v>3</v>
      </c>
    </row>
    <row r="50" spans="1:11" x14ac:dyDescent="0.25">
      <c r="A50" s="1" t="s">
        <v>8</v>
      </c>
      <c r="B50" s="1">
        <v>2</v>
      </c>
      <c r="C50" s="1">
        <v>1</v>
      </c>
      <c r="D50" s="1">
        <v>4</v>
      </c>
      <c r="E50" s="1">
        <v>3</v>
      </c>
    </row>
    <row r="51" spans="1:11" x14ac:dyDescent="0.25">
      <c r="A51" s="1" t="s">
        <v>9</v>
      </c>
      <c r="B51" s="1">
        <v>2</v>
      </c>
      <c r="C51" s="1">
        <v>1</v>
      </c>
      <c r="D51" s="1">
        <v>4</v>
      </c>
      <c r="E51" s="1">
        <v>3</v>
      </c>
    </row>
    <row r="52" spans="1:11" x14ac:dyDescent="0.25">
      <c r="A52" s="1" t="s">
        <v>22</v>
      </c>
      <c r="B52" s="1">
        <f>SUM(B47:B51)</f>
        <v>8</v>
      </c>
      <c r="C52" s="1">
        <f t="shared" ref="C52:E52" si="13">SUM(C47:C51)</f>
        <v>9</v>
      </c>
      <c r="D52" s="1">
        <f t="shared" si="13"/>
        <v>19</v>
      </c>
      <c r="E52" s="1">
        <f t="shared" si="13"/>
        <v>14</v>
      </c>
    </row>
    <row r="53" spans="1:11" x14ac:dyDescent="0.25">
      <c r="A53" s="1" t="s">
        <v>29</v>
      </c>
      <c r="B53" s="1">
        <f>B52/5</f>
        <v>1.6</v>
      </c>
      <c r="C53" s="1">
        <f t="shared" ref="C53:E53" si="14">C52/5</f>
        <v>1.8</v>
      </c>
      <c r="D53" s="1">
        <f t="shared" si="14"/>
        <v>3.8</v>
      </c>
      <c r="E53" s="1">
        <f t="shared" si="14"/>
        <v>2.8</v>
      </c>
    </row>
    <row r="54" spans="1:11" x14ac:dyDescent="0.25">
      <c r="A54" s="1" t="s">
        <v>23</v>
      </c>
      <c r="B54" s="1">
        <f>B52*B52</f>
        <v>64</v>
      </c>
      <c r="C54" s="1">
        <f t="shared" ref="C54:E54" si="15">C52*C52</f>
        <v>81</v>
      </c>
      <c r="D54" s="1">
        <f t="shared" si="15"/>
        <v>361</v>
      </c>
      <c r="E54" s="1">
        <f t="shared" si="15"/>
        <v>196</v>
      </c>
      <c r="F54" s="1">
        <f>SUM(B54:E54)</f>
        <v>702</v>
      </c>
    </row>
    <row r="56" spans="1:11" x14ac:dyDescent="0.25">
      <c r="B56" s="3" t="s">
        <v>14</v>
      </c>
      <c r="C56" s="3"/>
      <c r="D56" s="3"/>
      <c r="E56" s="3"/>
    </row>
    <row r="57" spans="1:11" x14ac:dyDescent="0.25">
      <c r="B57" s="1" t="s">
        <v>1</v>
      </c>
      <c r="C57" s="1" t="s">
        <v>2</v>
      </c>
      <c r="D57" s="1" t="s">
        <v>3</v>
      </c>
      <c r="E57" s="1" t="s">
        <v>4</v>
      </c>
    </row>
    <row r="58" spans="1:11" x14ac:dyDescent="0.25">
      <c r="A58" s="1" t="s">
        <v>5</v>
      </c>
      <c r="B58" s="1">
        <v>1</v>
      </c>
      <c r="C58" s="1">
        <v>3</v>
      </c>
      <c r="D58" s="1">
        <v>2</v>
      </c>
      <c r="E58" s="1">
        <v>4</v>
      </c>
    </row>
    <row r="59" spans="1:11" x14ac:dyDescent="0.25">
      <c r="A59" s="1" t="s">
        <v>6</v>
      </c>
      <c r="B59" s="1">
        <v>1</v>
      </c>
      <c r="C59" s="1">
        <v>4</v>
      </c>
      <c r="D59" s="1">
        <v>3</v>
      </c>
      <c r="E59" s="1">
        <v>2</v>
      </c>
      <c r="G59" s="1">
        <f>(12/(5*4*(4+1)))*(F65)-(3*5*(4+1))</f>
        <v>12.11999999999999</v>
      </c>
      <c r="I59" s="1">
        <f>_xlfn.CHISQ.DIST.RT(G59,3)</f>
        <v>6.9831944532655612E-3</v>
      </c>
      <c r="K59" s="1" t="s">
        <v>26</v>
      </c>
    </row>
    <row r="60" spans="1:11" x14ac:dyDescent="0.25">
      <c r="A60" s="1" t="s">
        <v>7</v>
      </c>
      <c r="B60" s="1">
        <v>1</v>
      </c>
      <c r="C60" s="1">
        <v>4</v>
      </c>
      <c r="D60" s="1">
        <v>3</v>
      </c>
      <c r="E60" s="1">
        <v>2</v>
      </c>
    </row>
    <row r="61" spans="1:11" x14ac:dyDescent="0.25">
      <c r="A61" s="1" t="s">
        <v>8</v>
      </c>
      <c r="B61" s="1">
        <v>1</v>
      </c>
      <c r="C61" s="1">
        <v>4</v>
      </c>
      <c r="D61" s="1">
        <v>3</v>
      </c>
      <c r="E61" s="1">
        <v>2</v>
      </c>
    </row>
    <row r="62" spans="1:11" x14ac:dyDescent="0.25">
      <c r="A62" s="1" t="s">
        <v>9</v>
      </c>
      <c r="B62" s="1">
        <v>1</v>
      </c>
      <c r="C62" s="1">
        <v>4</v>
      </c>
      <c r="D62" s="1">
        <v>3</v>
      </c>
      <c r="E62" s="1">
        <v>2</v>
      </c>
    </row>
    <row r="63" spans="1:11" x14ac:dyDescent="0.25">
      <c r="A63" s="1" t="s">
        <v>22</v>
      </c>
      <c r="B63" s="1">
        <f>SUM(B58:B62)</f>
        <v>5</v>
      </c>
      <c r="C63" s="1">
        <f t="shared" ref="C63:E63" si="16">SUM(C58:C62)</f>
        <v>19</v>
      </c>
      <c r="D63" s="1">
        <f t="shared" si="16"/>
        <v>14</v>
      </c>
      <c r="E63" s="1">
        <f t="shared" si="16"/>
        <v>12</v>
      </c>
    </row>
    <row r="64" spans="1:11" x14ac:dyDescent="0.25">
      <c r="A64" s="1" t="s">
        <v>29</v>
      </c>
      <c r="B64" s="1">
        <v>1</v>
      </c>
      <c r="C64" s="1">
        <v>4</v>
      </c>
      <c r="D64" s="1">
        <v>3</v>
      </c>
      <c r="E64" s="1">
        <v>2</v>
      </c>
    </row>
    <row r="65" spans="1:11" x14ac:dyDescent="0.25">
      <c r="A65" s="1" t="s">
        <v>23</v>
      </c>
      <c r="B65" s="1">
        <f>B63*B63</f>
        <v>25</v>
      </c>
      <c r="C65" s="1">
        <f t="shared" ref="C65:E65" si="17">C63*C63</f>
        <v>361</v>
      </c>
      <c r="D65" s="1">
        <f t="shared" si="17"/>
        <v>196</v>
      </c>
      <c r="E65" s="1">
        <f t="shared" si="17"/>
        <v>144</v>
      </c>
      <c r="F65" s="1">
        <f>SUM(B65:E65)</f>
        <v>726</v>
      </c>
    </row>
    <row r="68" spans="1:11" x14ac:dyDescent="0.25">
      <c r="B68" s="3" t="s">
        <v>15</v>
      </c>
      <c r="C68" s="3"/>
      <c r="D68" s="3"/>
      <c r="E68" s="3"/>
    </row>
    <row r="69" spans="1:11" x14ac:dyDescent="0.25">
      <c r="B69" s="1" t="s">
        <v>1</v>
      </c>
      <c r="C69" s="1" t="s">
        <v>2</v>
      </c>
      <c r="D69" s="1" t="s">
        <v>3</v>
      </c>
      <c r="E69" s="1" t="s">
        <v>4</v>
      </c>
    </row>
    <row r="70" spans="1:11" x14ac:dyDescent="0.25">
      <c r="A70" s="1" t="s">
        <v>5</v>
      </c>
      <c r="B70" s="1">
        <v>4</v>
      </c>
      <c r="C70" s="1">
        <v>2</v>
      </c>
      <c r="D70" s="1">
        <v>3</v>
      </c>
      <c r="E70" s="1">
        <v>1</v>
      </c>
    </row>
    <row r="71" spans="1:11" x14ac:dyDescent="0.25">
      <c r="A71" s="1" t="s">
        <v>6</v>
      </c>
      <c r="B71" s="1">
        <v>4</v>
      </c>
      <c r="C71" s="1">
        <v>1</v>
      </c>
      <c r="D71" s="1">
        <v>3</v>
      </c>
      <c r="E71" s="1">
        <v>2</v>
      </c>
      <c r="G71" s="1">
        <f>(12/(5*4*(4+1)))*(F77)-(3*5*(4+1))</f>
        <v>14.039999999999992</v>
      </c>
      <c r="I71" s="1">
        <f>_xlfn.CHISQ.DIST.RT(G71,3)</f>
        <v>2.8512084304522572E-3</v>
      </c>
      <c r="K71" s="1" t="s">
        <v>26</v>
      </c>
    </row>
    <row r="72" spans="1:11" x14ac:dyDescent="0.25">
      <c r="A72" s="1" t="s">
        <v>7</v>
      </c>
      <c r="B72" s="1">
        <v>4</v>
      </c>
      <c r="C72" s="1">
        <v>1</v>
      </c>
      <c r="D72" s="1">
        <v>3</v>
      </c>
      <c r="E72" s="1">
        <v>2</v>
      </c>
    </row>
    <row r="73" spans="1:11" x14ac:dyDescent="0.25">
      <c r="A73" s="1" t="s">
        <v>8</v>
      </c>
      <c r="B73" s="1">
        <v>4</v>
      </c>
      <c r="C73" s="1">
        <v>1</v>
      </c>
      <c r="D73" s="1">
        <v>3</v>
      </c>
      <c r="E73" s="1">
        <v>2</v>
      </c>
    </row>
    <row r="74" spans="1:11" x14ac:dyDescent="0.25">
      <c r="A74" s="1" t="s">
        <v>9</v>
      </c>
      <c r="B74" s="1">
        <v>4</v>
      </c>
      <c r="C74" s="1">
        <v>1</v>
      </c>
      <c r="D74" s="1">
        <v>3</v>
      </c>
      <c r="E74" s="1">
        <v>2</v>
      </c>
    </row>
    <row r="75" spans="1:11" x14ac:dyDescent="0.25">
      <c r="A75" s="1" t="s">
        <v>22</v>
      </c>
      <c r="B75" s="1">
        <f>SUM(B70:B74)</f>
        <v>20</v>
      </c>
      <c r="C75" s="1">
        <f t="shared" ref="C75:E75" si="18">SUM(C70:C74)</f>
        <v>6</v>
      </c>
      <c r="D75" s="1">
        <f t="shared" si="18"/>
        <v>15</v>
      </c>
      <c r="E75" s="1">
        <f t="shared" si="18"/>
        <v>9</v>
      </c>
    </row>
    <row r="76" spans="1:11" x14ac:dyDescent="0.25">
      <c r="A76" s="1" t="s">
        <v>29</v>
      </c>
      <c r="B76" s="1">
        <f>B75/5</f>
        <v>4</v>
      </c>
      <c r="C76" s="1">
        <f t="shared" ref="C76:E76" si="19">C75/5</f>
        <v>1.2</v>
      </c>
      <c r="D76" s="1">
        <f t="shared" si="19"/>
        <v>3</v>
      </c>
      <c r="E76" s="1">
        <f t="shared" si="19"/>
        <v>1.8</v>
      </c>
    </row>
    <row r="77" spans="1:11" x14ac:dyDescent="0.25">
      <c r="A77" s="1" t="s">
        <v>23</v>
      </c>
      <c r="B77" s="1">
        <f>B75*B75</f>
        <v>400</v>
      </c>
      <c r="C77" s="1">
        <f t="shared" ref="C77:E77" si="20">C75*C75</f>
        <v>36</v>
      </c>
      <c r="D77" s="1">
        <f t="shared" si="20"/>
        <v>225</v>
      </c>
      <c r="E77" s="1">
        <f t="shared" si="20"/>
        <v>81</v>
      </c>
      <c r="F77" s="1">
        <f>SUM(B77:E77)</f>
        <v>742</v>
      </c>
    </row>
    <row r="79" spans="1:11" x14ac:dyDescent="0.25">
      <c r="B79" s="3" t="s">
        <v>16</v>
      </c>
      <c r="C79" s="3"/>
      <c r="D79" s="3"/>
      <c r="E79" s="3"/>
    </row>
    <row r="80" spans="1:11" x14ac:dyDescent="0.25">
      <c r="B80" s="1" t="s">
        <v>1</v>
      </c>
      <c r="C80" s="1" t="s">
        <v>2</v>
      </c>
      <c r="D80" s="1" t="s">
        <v>3</v>
      </c>
      <c r="E80" s="1" t="s">
        <v>4</v>
      </c>
    </row>
    <row r="81" spans="1:11" x14ac:dyDescent="0.25">
      <c r="A81" s="1" t="s">
        <v>5</v>
      </c>
      <c r="B81" s="1">
        <v>1</v>
      </c>
      <c r="C81" s="1">
        <v>2</v>
      </c>
      <c r="D81" s="1">
        <v>3</v>
      </c>
      <c r="E81" s="1">
        <v>4</v>
      </c>
    </row>
    <row r="82" spans="1:11" x14ac:dyDescent="0.25">
      <c r="A82" s="1" t="s">
        <v>6</v>
      </c>
      <c r="B82" s="1">
        <v>1</v>
      </c>
      <c r="C82" s="1">
        <v>3</v>
      </c>
      <c r="D82" s="1">
        <v>2</v>
      </c>
      <c r="E82" s="1">
        <v>4</v>
      </c>
    </row>
    <row r="83" spans="1:11" x14ac:dyDescent="0.25">
      <c r="A83" s="1" t="s">
        <v>7</v>
      </c>
      <c r="B83" s="1">
        <v>2</v>
      </c>
      <c r="C83" s="1">
        <v>1</v>
      </c>
      <c r="D83" s="1">
        <v>3</v>
      </c>
      <c r="E83" s="1">
        <v>4</v>
      </c>
      <c r="G83" s="1">
        <f>(12/(5*4*(4+1)))*(F88)-(3*5*(4+1))</f>
        <v>11.879999999999995</v>
      </c>
      <c r="I83" s="1">
        <f>_xlfn.CHISQ.DIST.RT(G83,3)</f>
        <v>7.8057407518306934E-3</v>
      </c>
      <c r="K83" s="1" t="s">
        <v>26</v>
      </c>
    </row>
    <row r="84" spans="1:11" x14ac:dyDescent="0.25">
      <c r="A84" s="1" t="s">
        <v>8</v>
      </c>
      <c r="B84" s="1">
        <v>2</v>
      </c>
      <c r="C84" s="1">
        <v>1</v>
      </c>
      <c r="D84" s="1">
        <v>3</v>
      </c>
      <c r="E84" s="1">
        <v>4</v>
      </c>
    </row>
    <row r="85" spans="1:11" x14ac:dyDescent="0.25">
      <c r="A85" s="1" t="s">
        <v>9</v>
      </c>
      <c r="B85" s="1">
        <v>2</v>
      </c>
      <c r="C85" s="1">
        <v>1</v>
      </c>
      <c r="D85" s="1">
        <v>3</v>
      </c>
      <c r="E85" s="1">
        <v>4</v>
      </c>
    </row>
    <row r="86" spans="1:11" x14ac:dyDescent="0.25">
      <c r="A86" s="1" t="s">
        <v>22</v>
      </c>
      <c r="B86" s="1">
        <f>SUM(B81:B85)</f>
        <v>8</v>
      </c>
      <c r="C86" s="1">
        <f t="shared" ref="C86:E86" si="21">SUM(C81:C85)</f>
        <v>8</v>
      </c>
      <c r="D86" s="1">
        <f t="shared" si="21"/>
        <v>14</v>
      </c>
      <c r="E86" s="1">
        <f t="shared" si="21"/>
        <v>20</v>
      </c>
    </row>
    <row r="87" spans="1:11" x14ac:dyDescent="0.25">
      <c r="A87" s="1" t="s">
        <v>29</v>
      </c>
      <c r="B87" s="1">
        <f>B86/5</f>
        <v>1.6</v>
      </c>
      <c r="C87" s="1">
        <f t="shared" ref="C87:E87" si="22">C86/5</f>
        <v>1.6</v>
      </c>
      <c r="D87" s="1">
        <f t="shared" si="22"/>
        <v>2.8</v>
      </c>
      <c r="E87" s="1">
        <f t="shared" si="22"/>
        <v>4</v>
      </c>
    </row>
    <row r="88" spans="1:11" x14ac:dyDescent="0.25">
      <c r="A88" s="1" t="s">
        <v>23</v>
      </c>
      <c r="B88" s="1">
        <f>B86*B86</f>
        <v>64</v>
      </c>
      <c r="C88" s="1">
        <f t="shared" ref="C88:E88" si="23">C86*C86</f>
        <v>64</v>
      </c>
      <c r="D88" s="1">
        <f t="shared" si="23"/>
        <v>196</v>
      </c>
      <c r="E88" s="1">
        <f t="shared" si="23"/>
        <v>400</v>
      </c>
      <c r="F88" s="1">
        <f>SUM(B88:E88)</f>
        <v>724</v>
      </c>
    </row>
    <row r="90" spans="1:11" x14ac:dyDescent="0.25">
      <c r="B90" s="3" t="s">
        <v>17</v>
      </c>
      <c r="C90" s="3"/>
      <c r="D90" s="3"/>
      <c r="E90" s="3"/>
    </row>
    <row r="91" spans="1:11" x14ac:dyDescent="0.25">
      <c r="B91" s="1" t="s">
        <v>1</v>
      </c>
      <c r="C91" s="1" t="s">
        <v>2</v>
      </c>
      <c r="D91" s="1" t="s">
        <v>3</v>
      </c>
      <c r="E91" s="1" t="s">
        <v>4</v>
      </c>
    </row>
    <row r="92" spans="1:11" x14ac:dyDescent="0.25">
      <c r="A92" s="1" t="s">
        <v>5</v>
      </c>
      <c r="B92" s="1">
        <v>1</v>
      </c>
      <c r="C92" s="1">
        <v>4</v>
      </c>
      <c r="D92" s="1">
        <v>2</v>
      </c>
      <c r="E92" s="1">
        <v>3</v>
      </c>
    </row>
    <row r="93" spans="1:11" x14ac:dyDescent="0.25">
      <c r="A93" s="1" t="s">
        <v>6</v>
      </c>
      <c r="B93" s="1">
        <v>2</v>
      </c>
      <c r="C93" s="1">
        <v>3</v>
      </c>
      <c r="D93" s="1">
        <v>1</v>
      </c>
      <c r="E93" s="1">
        <v>4</v>
      </c>
    </row>
    <row r="94" spans="1:11" x14ac:dyDescent="0.25">
      <c r="A94" s="1" t="s">
        <v>7</v>
      </c>
      <c r="B94" s="1">
        <v>2</v>
      </c>
      <c r="C94" s="1">
        <v>1</v>
      </c>
      <c r="D94" s="1">
        <v>3</v>
      </c>
      <c r="E94" s="1">
        <v>4</v>
      </c>
      <c r="G94" s="1">
        <f>(12/(5*4*(4+1)))*(F99)-(3*5*(4+1))</f>
        <v>7.3199999999999932</v>
      </c>
      <c r="I94" s="1">
        <f>_xlfn.CHISQ.DIST.RT(G94,3)</f>
        <v>6.2368339878926926E-2</v>
      </c>
      <c r="K94" s="1" t="s">
        <v>27</v>
      </c>
    </row>
    <row r="95" spans="1:11" x14ac:dyDescent="0.25">
      <c r="A95" s="1" t="s">
        <v>8</v>
      </c>
      <c r="B95" s="1">
        <v>2</v>
      </c>
      <c r="C95" s="1">
        <v>1</v>
      </c>
      <c r="D95" s="1">
        <v>3</v>
      </c>
      <c r="E95" s="1">
        <v>4</v>
      </c>
    </row>
    <row r="96" spans="1:11" x14ac:dyDescent="0.25">
      <c r="A96" s="1" t="s">
        <v>9</v>
      </c>
      <c r="B96" s="1">
        <v>2</v>
      </c>
      <c r="C96" s="1">
        <v>1</v>
      </c>
      <c r="D96" s="1">
        <v>3</v>
      </c>
      <c r="E96" s="1">
        <v>4</v>
      </c>
    </row>
    <row r="97" spans="1:11" x14ac:dyDescent="0.25">
      <c r="A97" s="1" t="s">
        <v>22</v>
      </c>
      <c r="B97" s="1">
        <f>SUM(B92:B96)</f>
        <v>9</v>
      </c>
      <c r="C97" s="1">
        <f t="shared" ref="C97:E97" si="24">SUM(C92:C96)</f>
        <v>10</v>
      </c>
      <c r="D97" s="1">
        <f t="shared" si="24"/>
        <v>12</v>
      </c>
      <c r="E97" s="1">
        <f t="shared" si="24"/>
        <v>19</v>
      </c>
    </row>
    <row r="98" spans="1:11" x14ac:dyDescent="0.25">
      <c r="A98" s="1" t="s">
        <v>29</v>
      </c>
      <c r="B98" s="1">
        <f>B97/5</f>
        <v>1.8</v>
      </c>
      <c r="C98" s="1">
        <f t="shared" ref="C98:E98" si="25">C97/5</f>
        <v>2</v>
      </c>
      <c r="D98" s="1">
        <f t="shared" si="25"/>
        <v>2.4</v>
      </c>
      <c r="E98" s="1">
        <f t="shared" si="25"/>
        <v>3.8</v>
      </c>
    </row>
    <row r="99" spans="1:11" x14ac:dyDescent="0.25">
      <c r="A99" s="1" t="s">
        <v>23</v>
      </c>
      <c r="B99" s="1">
        <f>B97*B97</f>
        <v>81</v>
      </c>
      <c r="C99" s="1">
        <f t="shared" ref="C99:E99" si="26">C97*C97</f>
        <v>100</v>
      </c>
      <c r="D99" s="1">
        <f t="shared" si="26"/>
        <v>144</v>
      </c>
      <c r="E99" s="1">
        <f t="shared" si="26"/>
        <v>361</v>
      </c>
      <c r="F99" s="1">
        <f>SUM(B99:E99)</f>
        <v>686</v>
      </c>
    </row>
    <row r="101" spans="1:11" x14ac:dyDescent="0.25">
      <c r="B101" s="3" t="s">
        <v>18</v>
      </c>
      <c r="C101" s="3"/>
      <c r="D101" s="3"/>
      <c r="E101" s="3"/>
    </row>
    <row r="102" spans="1:11" x14ac:dyDescent="0.25">
      <c r="B102" s="1" t="s">
        <v>1</v>
      </c>
      <c r="C102" s="1" t="s">
        <v>2</v>
      </c>
      <c r="D102" s="1" t="s">
        <v>3</v>
      </c>
      <c r="E102" s="1" t="s">
        <v>4</v>
      </c>
    </row>
    <row r="103" spans="1:11" x14ac:dyDescent="0.25">
      <c r="A103" s="1" t="s">
        <v>5</v>
      </c>
      <c r="B103" s="1">
        <v>2</v>
      </c>
      <c r="C103" s="1">
        <v>4</v>
      </c>
      <c r="D103" s="1">
        <v>3</v>
      </c>
      <c r="E103" s="1">
        <v>1</v>
      </c>
    </row>
    <row r="104" spans="1:11" x14ac:dyDescent="0.25">
      <c r="A104" s="1" t="s">
        <v>6</v>
      </c>
      <c r="B104" s="1">
        <v>1</v>
      </c>
      <c r="C104" s="1">
        <v>3</v>
      </c>
      <c r="D104" s="1">
        <v>4</v>
      </c>
      <c r="E104" s="1">
        <v>2</v>
      </c>
    </row>
    <row r="105" spans="1:11" x14ac:dyDescent="0.25">
      <c r="A105" s="1" t="s">
        <v>7</v>
      </c>
      <c r="B105" s="1">
        <v>1</v>
      </c>
      <c r="C105" s="1">
        <v>3</v>
      </c>
      <c r="D105" s="1">
        <v>4</v>
      </c>
      <c r="E105" s="1">
        <v>2</v>
      </c>
      <c r="G105" s="1">
        <f>(12/(5*4*(4+1)))*(F110)-(3*5*(4+1))</f>
        <v>8.039999999999992</v>
      </c>
      <c r="I105" s="1">
        <f>_xlfn.CHISQ.DIST.RT(G105,3)</f>
        <v>4.5192219404371452E-2</v>
      </c>
      <c r="K105" s="1" t="s">
        <v>26</v>
      </c>
    </row>
    <row r="106" spans="1:11" x14ac:dyDescent="0.25">
      <c r="A106" s="1" t="s">
        <v>8</v>
      </c>
      <c r="B106" s="1">
        <v>1</v>
      </c>
      <c r="C106" s="1">
        <v>4</v>
      </c>
      <c r="D106" s="1">
        <v>2</v>
      </c>
      <c r="E106" s="1">
        <v>3</v>
      </c>
    </row>
    <row r="107" spans="1:11" x14ac:dyDescent="0.25">
      <c r="A107" s="1" t="s">
        <v>9</v>
      </c>
      <c r="B107" s="1">
        <v>1</v>
      </c>
      <c r="C107" s="1">
        <v>2</v>
      </c>
      <c r="D107" s="1">
        <v>3</v>
      </c>
      <c r="E107" s="1">
        <v>4</v>
      </c>
    </row>
    <row r="108" spans="1:11" x14ac:dyDescent="0.25">
      <c r="A108" s="1" t="s">
        <v>22</v>
      </c>
      <c r="B108" s="1">
        <f>SUM(B103:B107)</f>
        <v>6</v>
      </c>
      <c r="C108" s="1">
        <f t="shared" ref="C108:E108" si="27">SUM(C103:C107)</f>
        <v>16</v>
      </c>
      <c r="D108" s="1">
        <f t="shared" si="27"/>
        <v>16</v>
      </c>
      <c r="E108" s="1">
        <f t="shared" si="27"/>
        <v>12</v>
      </c>
    </row>
    <row r="109" spans="1:11" x14ac:dyDescent="0.25">
      <c r="A109" s="1" t="s">
        <v>29</v>
      </c>
      <c r="B109" s="1">
        <f>B108/5</f>
        <v>1.2</v>
      </c>
      <c r="C109" s="1">
        <f t="shared" ref="C109:E109" si="28">C108/5</f>
        <v>3.2</v>
      </c>
      <c r="D109" s="1">
        <f t="shared" si="28"/>
        <v>3.2</v>
      </c>
      <c r="E109" s="1">
        <f t="shared" si="28"/>
        <v>2.4</v>
      </c>
    </row>
    <row r="110" spans="1:11" x14ac:dyDescent="0.25">
      <c r="A110" s="1" t="s">
        <v>23</v>
      </c>
      <c r="B110" s="1">
        <f>B108*B108</f>
        <v>36</v>
      </c>
      <c r="C110" s="1">
        <f t="shared" ref="C110:E110" si="29">C108*C108</f>
        <v>256</v>
      </c>
      <c r="D110" s="1">
        <f t="shared" si="29"/>
        <v>256</v>
      </c>
      <c r="E110" s="1">
        <f t="shared" si="29"/>
        <v>144</v>
      </c>
      <c r="F110" s="1">
        <f>SUM(B110:E110)</f>
        <v>692</v>
      </c>
    </row>
    <row r="112" spans="1:11" x14ac:dyDescent="0.25">
      <c r="B112" s="3" t="s">
        <v>19</v>
      </c>
      <c r="C112" s="3"/>
      <c r="D112" s="3"/>
      <c r="E112" s="3"/>
    </row>
    <row r="113" spans="1:11" x14ac:dyDescent="0.25">
      <c r="B113" s="1" t="s">
        <v>1</v>
      </c>
      <c r="C113" s="1" t="s">
        <v>2</v>
      </c>
      <c r="D113" s="1" t="s">
        <v>3</v>
      </c>
      <c r="E113" s="1" t="s">
        <v>4</v>
      </c>
    </row>
    <row r="114" spans="1:11" x14ac:dyDescent="0.25">
      <c r="A114" s="1" t="s">
        <v>5</v>
      </c>
      <c r="B114" s="1">
        <v>2</v>
      </c>
      <c r="C114" s="1">
        <v>3</v>
      </c>
      <c r="D114" s="1">
        <v>4</v>
      </c>
      <c r="E114" s="1">
        <v>1</v>
      </c>
    </row>
    <row r="115" spans="1:11" x14ac:dyDescent="0.25">
      <c r="A115" s="1" t="s">
        <v>6</v>
      </c>
      <c r="B115" s="1">
        <v>3</v>
      </c>
      <c r="C115" s="1">
        <v>4</v>
      </c>
      <c r="D115" s="1">
        <v>1</v>
      </c>
      <c r="E115" s="1">
        <v>2</v>
      </c>
    </row>
    <row r="116" spans="1:11" x14ac:dyDescent="0.25">
      <c r="A116" s="1" t="s">
        <v>7</v>
      </c>
      <c r="B116" s="1">
        <v>2</v>
      </c>
      <c r="C116" s="1">
        <v>1</v>
      </c>
      <c r="D116" s="1">
        <v>4</v>
      </c>
      <c r="E116" s="1">
        <v>3</v>
      </c>
      <c r="G116" s="1">
        <f>(12/(5*4*(4+1)))*(F121)-(3*5*(4+1))</f>
        <v>2.039999999999992</v>
      </c>
      <c r="I116" s="1">
        <f>_xlfn.CHISQ.DIST.RT(G116,3)</f>
        <v>0.56414619919846187</v>
      </c>
      <c r="K116" s="1" t="s">
        <v>27</v>
      </c>
    </row>
    <row r="117" spans="1:11" x14ac:dyDescent="0.25">
      <c r="A117" s="1" t="s">
        <v>8</v>
      </c>
      <c r="B117" s="1">
        <v>2</v>
      </c>
      <c r="C117" s="1">
        <v>1</v>
      </c>
      <c r="D117" s="1">
        <v>3</v>
      </c>
      <c r="E117" s="1">
        <v>4</v>
      </c>
    </row>
    <row r="118" spans="1:11" x14ac:dyDescent="0.25">
      <c r="A118" s="1" t="s">
        <v>9</v>
      </c>
      <c r="B118" s="1">
        <v>2</v>
      </c>
      <c r="C118" s="1">
        <v>1</v>
      </c>
      <c r="D118" s="1">
        <v>3</v>
      </c>
      <c r="E118" s="1">
        <v>4</v>
      </c>
    </row>
    <row r="119" spans="1:11" x14ac:dyDescent="0.25">
      <c r="A119" s="1" t="s">
        <v>22</v>
      </c>
      <c r="B119" s="1">
        <f>SUM(B114:B118)</f>
        <v>11</v>
      </c>
      <c r="C119" s="1">
        <f t="shared" ref="C119:E119" si="30">SUM(C114:C118)</f>
        <v>10</v>
      </c>
      <c r="D119" s="1">
        <f t="shared" si="30"/>
        <v>15</v>
      </c>
      <c r="E119" s="1">
        <f t="shared" si="30"/>
        <v>14</v>
      </c>
    </row>
    <row r="120" spans="1:11" x14ac:dyDescent="0.25">
      <c r="A120" s="1" t="s">
        <v>29</v>
      </c>
      <c r="B120" s="1">
        <f>B119/5</f>
        <v>2.2000000000000002</v>
      </c>
      <c r="C120" s="1">
        <f t="shared" ref="C120:E120" si="31">C119/5</f>
        <v>2</v>
      </c>
      <c r="D120" s="1">
        <f t="shared" si="31"/>
        <v>3</v>
      </c>
      <c r="E120" s="1">
        <f t="shared" si="31"/>
        <v>2.8</v>
      </c>
    </row>
    <row r="121" spans="1:11" x14ac:dyDescent="0.25">
      <c r="A121" s="1" t="s">
        <v>23</v>
      </c>
      <c r="B121" s="1">
        <f>B119*B119</f>
        <v>121</v>
      </c>
      <c r="C121" s="1">
        <f t="shared" ref="C121:E121" si="32">C119*C119</f>
        <v>100</v>
      </c>
      <c r="D121" s="1">
        <f t="shared" si="32"/>
        <v>225</v>
      </c>
      <c r="E121" s="1">
        <f t="shared" si="32"/>
        <v>196</v>
      </c>
      <c r="F121" s="1">
        <f>SUM(B121:E121)</f>
        <v>642</v>
      </c>
    </row>
  </sheetData>
  <mergeCells count="14">
    <mergeCell ref="B90:E90"/>
    <mergeCell ref="B56:E56"/>
    <mergeCell ref="N17:Q17"/>
    <mergeCell ref="B101:E101"/>
    <mergeCell ref="B112:E112"/>
    <mergeCell ref="B23:E23"/>
    <mergeCell ref="B34:E34"/>
    <mergeCell ref="T17:W17"/>
    <mergeCell ref="N1:R1"/>
    <mergeCell ref="B45:E45"/>
    <mergeCell ref="B68:E68"/>
    <mergeCell ref="B79:E79"/>
    <mergeCell ref="B1:E1"/>
    <mergeCell ref="B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CC44-F918-4BA6-9EF1-B29451191D8C}">
  <dimension ref="A1:AB95"/>
  <sheetViews>
    <sheetView zoomScaleNormal="100" workbookViewId="0">
      <selection activeCell="Y57" sqref="Y57"/>
    </sheetView>
  </sheetViews>
  <sheetFormatPr defaultRowHeight="15" x14ac:dyDescent="0.25"/>
  <cols>
    <col min="1" max="1" width="6.42578125" style="2" bestFit="1" customWidth="1"/>
    <col min="2" max="2" width="9.7109375" style="2" customWidth="1"/>
    <col min="3" max="3" width="9.5703125" style="2" customWidth="1"/>
    <col min="4" max="4" width="9.140625" style="2" customWidth="1"/>
    <col min="5" max="5" width="8.28515625" style="2" bestFit="1" customWidth="1"/>
    <col min="6" max="6" width="5.28515625" style="2" bestFit="1" customWidth="1"/>
    <col min="7" max="7" width="12.140625" style="2" customWidth="1"/>
    <col min="8" max="8" width="6.42578125" style="2" bestFit="1" customWidth="1"/>
    <col min="9" max="10" width="8.42578125" style="2" customWidth="1"/>
    <col min="11" max="11" width="10.7109375" style="2" customWidth="1"/>
    <col min="12" max="12" width="9.140625" style="2"/>
    <col min="13" max="13" width="5.28515625" style="2" bestFit="1" customWidth="1"/>
    <col min="14" max="14" width="11.5703125" style="2" customWidth="1"/>
    <col min="15" max="15" width="6.42578125" style="2" bestFit="1" customWidth="1"/>
    <col min="16" max="16" width="8.85546875" style="2" customWidth="1"/>
    <col min="17" max="17" width="8.140625" style="2" customWidth="1"/>
    <col min="18" max="18" width="9.28515625" style="2" customWidth="1"/>
    <col min="19" max="19" width="8.28515625" style="2" bestFit="1" customWidth="1"/>
    <col min="20" max="20" width="5.28515625" style="2" bestFit="1" customWidth="1"/>
    <col min="21" max="16384" width="9.140625" style="2"/>
  </cols>
  <sheetData>
    <row r="1" spans="1:28" x14ac:dyDescent="0.25">
      <c r="A1" s="1"/>
      <c r="B1" s="3" t="s">
        <v>0</v>
      </c>
      <c r="C1" s="3"/>
      <c r="D1" s="3"/>
      <c r="E1" s="3"/>
      <c r="F1" s="3"/>
      <c r="H1" s="1"/>
      <c r="I1" s="3" t="s">
        <v>0</v>
      </c>
      <c r="J1" s="3"/>
      <c r="K1" s="3"/>
      <c r="L1" s="3"/>
      <c r="M1" s="3"/>
      <c r="O1" s="1"/>
      <c r="P1" s="3" t="s">
        <v>0</v>
      </c>
      <c r="Q1" s="3"/>
      <c r="R1" s="3"/>
      <c r="S1" s="3"/>
      <c r="T1" s="3"/>
    </row>
    <row r="2" spans="1:28" x14ac:dyDescent="0.25">
      <c r="A2" s="1"/>
      <c r="B2" s="1" t="s">
        <v>1</v>
      </c>
      <c r="C2" s="1" t="s">
        <v>2</v>
      </c>
      <c r="D2" s="1" t="s">
        <v>35</v>
      </c>
      <c r="E2" s="1" t="s">
        <v>37</v>
      </c>
      <c r="F2" s="1" t="s">
        <v>36</v>
      </c>
      <c r="G2" s="1"/>
      <c r="H2" s="1"/>
      <c r="I2" s="1" t="s">
        <v>1</v>
      </c>
      <c r="J2" s="1" t="s">
        <v>3</v>
      </c>
      <c r="K2" s="1" t="s">
        <v>35</v>
      </c>
      <c r="L2" s="1" t="s">
        <v>37</v>
      </c>
      <c r="M2" s="1" t="s">
        <v>36</v>
      </c>
      <c r="O2" s="1"/>
      <c r="P2" s="1" t="s">
        <v>1</v>
      </c>
      <c r="Q2" s="1" t="s">
        <v>4</v>
      </c>
      <c r="R2" s="1" t="s">
        <v>35</v>
      </c>
      <c r="S2" s="1" t="s">
        <v>37</v>
      </c>
      <c r="T2" s="1" t="s">
        <v>36</v>
      </c>
    </row>
    <row r="3" spans="1:28" x14ac:dyDescent="0.25">
      <c r="A3" s="1" t="s">
        <v>38</v>
      </c>
      <c r="B3" s="1">
        <v>42.6</v>
      </c>
      <c r="C3" s="1">
        <v>42</v>
      </c>
      <c r="D3" s="1">
        <f>B3-C3</f>
        <v>0.60000000000000142</v>
      </c>
      <c r="E3" s="1">
        <v>0.60000000000000142</v>
      </c>
      <c r="F3" s="2">
        <v>1</v>
      </c>
      <c r="H3" s="1" t="s">
        <v>38</v>
      </c>
      <c r="I3" s="1">
        <v>42.6</v>
      </c>
      <c r="J3" s="2">
        <v>32</v>
      </c>
      <c r="K3" s="1">
        <f>I3-J3</f>
        <v>10.600000000000001</v>
      </c>
      <c r="L3" s="2">
        <f>ABS(K3)</f>
        <v>10.600000000000001</v>
      </c>
      <c r="M3" s="2">
        <v>2</v>
      </c>
      <c r="O3" s="1" t="s">
        <v>38</v>
      </c>
      <c r="P3" s="1">
        <v>42.6</v>
      </c>
      <c r="Q3" s="2">
        <v>32</v>
      </c>
      <c r="R3" s="1">
        <f>P3-Q3</f>
        <v>10.600000000000001</v>
      </c>
      <c r="S3" s="2">
        <f>ABS(R3)</f>
        <v>10.600000000000001</v>
      </c>
      <c r="T3" s="2">
        <v>1</v>
      </c>
    </row>
    <row r="4" spans="1:28" x14ac:dyDescent="0.25">
      <c r="A4" s="1" t="s">
        <v>39</v>
      </c>
      <c r="B4" s="1">
        <v>48.5</v>
      </c>
      <c r="C4" s="1">
        <v>42</v>
      </c>
      <c r="D4" s="1">
        <f t="shared" ref="D4:D7" si="0">B4-C4</f>
        <v>6.5</v>
      </c>
      <c r="E4" s="1">
        <v>6.5</v>
      </c>
      <c r="F4" s="2">
        <v>2</v>
      </c>
      <c r="H4" s="1" t="s">
        <v>39</v>
      </c>
      <c r="I4" s="1">
        <v>48.5</v>
      </c>
      <c r="J4" s="2">
        <v>40</v>
      </c>
      <c r="K4" s="1">
        <f t="shared" ref="K4:K7" si="1">I4-J4</f>
        <v>8.5</v>
      </c>
      <c r="L4" s="2">
        <f t="shared" ref="L4:L7" si="2">ABS(K4)</f>
        <v>8.5</v>
      </c>
      <c r="M4" s="2">
        <v>1</v>
      </c>
      <c r="O4" s="1" t="s">
        <v>39</v>
      </c>
      <c r="P4" s="1">
        <v>48.5</v>
      </c>
      <c r="Q4" s="2">
        <v>34</v>
      </c>
      <c r="R4" s="1">
        <f t="shared" ref="R4:R7" si="3">P4-Q4</f>
        <v>14.5</v>
      </c>
      <c r="S4" s="2">
        <f t="shared" ref="S4:S7" si="4">ABS(R4)</f>
        <v>14.5</v>
      </c>
      <c r="T4" s="2">
        <v>2</v>
      </c>
    </row>
    <row r="5" spans="1:28" x14ac:dyDescent="0.25">
      <c r="A5" s="1" t="s">
        <v>40</v>
      </c>
      <c r="B5" s="1">
        <v>49</v>
      </c>
      <c r="C5" s="1">
        <v>34</v>
      </c>
      <c r="D5" s="1">
        <f t="shared" si="0"/>
        <v>15</v>
      </c>
      <c r="E5" s="1">
        <v>15</v>
      </c>
      <c r="F5" s="2">
        <v>5</v>
      </c>
      <c r="H5" s="1" t="s">
        <v>40</v>
      </c>
      <c r="I5" s="1">
        <v>49</v>
      </c>
      <c r="J5" s="2">
        <v>32</v>
      </c>
      <c r="K5" s="1">
        <f t="shared" si="1"/>
        <v>17</v>
      </c>
      <c r="L5" s="2">
        <f t="shared" si="2"/>
        <v>17</v>
      </c>
      <c r="M5" s="2">
        <v>4</v>
      </c>
      <c r="O5" s="1" t="s">
        <v>40</v>
      </c>
      <c r="P5" s="1">
        <v>49</v>
      </c>
      <c r="Q5" s="2">
        <v>28</v>
      </c>
      <c r="R5" s="1">
        <f t="shared" si="3"/>
        <v>21</v>
      </c>
      <c r="S5" s="2">
        <f t="shared" si="4"/>
        <v>21</v>
      </c>
      <c r="T5" s="2">
        <v>4</v>
      </c>
    </row>
    <row r="6" spans="1:28" x14ac:dyDescent="0.25">
      <c r="A6" s="1" t="s">
        <v>41</v>
      </c>
      <c r="B6" s="1">
        <v>50.5</v>
      </c>
      <c r="C6" s="1">
        <v>42</v>
      </c>
      <c r="D6" s="1">
        <f t="shared" si="0"/>
        <v>8.5</v>
      </c>
      <c r="E6" s="1">
        <v>8.5</v>
      </c>
      <c r="F6" s="2">
        <v>3</v>
      </c>
      <c r="H6" s="1" t="s">
        <v>41</v>
      </c>
      <c r="I6" s="1">
        <v>50.5</v>
      </c>
      <c r="J6" s="2">
        <v>38</v>
      </c>
      <c r="K6" s="1">
        <f t="shared" si="1"/>
        <v>12.5</v>
      </c>
      <c r="L6" s="2">
        <f t="shared" si="2"/>
        <v>12.5</v>
      </c>
      <c r="M6" s="2">
        <v>3</v>
      </c>
      <c r="O6" s="1" t="s">
        <v>41</v>
      </c>
      <c r="P6" s="1">
        <v>50.5</v>
      </c>
      <c r="Q6" s="2">
        <v>30</v>
      </c>
      <c r="R6" s="1">
        <f t="shared" si="3"/>
        <v>20.5</v>
      </c>
      <c r="S6" s="2">
        <f t="shared" si="4"/>
        <v>20.5</v>
      </c>
      <c r="T6" s="2">
        <v>3</v>
      </c>
      <c r="AB6" s="2" t="s">
        <v>30</v>
      </c>
    </row>
    <row r="7" spans="1:28" x14ac:dyDescent="0.25">
      <c r="A7" s="1" t="s">
        <v>42</v>
      </c>
      <c r="B7" s="1">
        <v>52</v>
      </c>
      <c r="C7" s="1">
        <v>42</v>
      </c>
      <c r="D7" s="1">
        <f t="shared" si="0"/>
        <v>10</v>
      </c>
      <c r="E7" s="1">
        <v>10</v>
      </c>
      <c r="F7" s="2">
        <v>4</v>
      </c>
      <c r="H7" s="1" t="s">
        <v>42</v>
      </c>
      <c r="I7" s="1">
        <v>52</v>
      </c>
      <c r="J7" s="2">
        <v>34</v>
      </c>
      <c r="K7" s="1">
        <f t="shared" si="1"/>
        <v>18</v>
      </c>
      <c r="L7" s="2">
        <f t="shared" si="2"/>
        <v>18</v>
      </c>
      <c r="M7" s="2">
        <v>5</v>
      </c>
      <c r="O7" s="1" t="s">
        <v>42</v>
      </c>
      <c r="P7" s="1">
        <v>52</v>
      </c>
      <c r="Q7" s="2">
        <v>30</v>
      </c>
      <c r="R7" s="1">
        <f t="shared" si="3"/>
        <v>22</v>
      </c>
      <c r="S7" s="2">
        <f t="shared" si="4"/>
        <v>22</v>
      </c>
      <c r="T7" s="2">
        <v>5</v>
      </c>
    </row>
    <row r="8" spans="1:28" x14ac:dyDescent="0.25">
      <c r="A8" s="1" t="s">
        <v>43</v>
      </c>
      <c r="B8" s="1"/>
      <c r="C8" s="1"/>
      <c r="D8" s="1"/>
      <c r="E8" s="1"/>
      <c r="F8" s="1">
        <v>15</v>
      </c>
      <c r="H8" s="1" t="s">
        <v>43</v>
      </c>
      <c r="M8" s="2">
        <v>15</v>
      </c>
      <c r="O8" s="1" t="s">
        <v>43</v>
      </c>
      <c r="T8" s="2">
        <v>15</v>
      </c>
    </row>
    <row r="9" spans="1:28" x14ac:dyDescent="0.25">
      <c r="A9" s="1" t="s">
        <v>44</v>
      </c>
      <c r="B9" s="1"/>
      <c r="C9" s="1"/>
      <c r="D9" s="1"/>
      <c r="E9" s="1"/>
      <c r="F9" s="1">
        <v>0</v>
      </c>
      <c r="H9" s="1" t="s">
        <v>44</v>
      </c>
      <c r="M9" s="2">
        <v>0</v>
      </c>
      <c r="O9" s="1" t="s">
        <v>44</v>
      </c>
      <c r="T9" s="2">
        <v>0</v>
      </c>
    </row>
    <row r="10" spans="1:28" x14ac:dyDescent="0.25">
      <c r="A10" s="1" t="s">
        <v>46</v>
      </c>
      <c r="B10" s="1"/>
      <c r="C10" s="1"/>
      <c r="D10" s="1"/>
      <c r="E10" s="1"/>
      <c r="F10" s="1">
        <v>0</v>
      </c>
      <c r="H10" s="1" t="s">
        <v>46</v>
      </c>
      <c r="M10" s="2">
        <v>0</v>
      </c>
      <c r="O10" s="1" t="s">
        <v>46</v>
      </c>
      <c r="T10" s="2">
        <v>0</v>
      </c>
    </row>
    <row r="11" spans="1:28" x14ac:dyDescent="0.25">
      <c r="A11" s="1" t="s">
        <v>45</v>
      </c>
      <c r="B11" s="1"/>
      <c r="C11" s="1"/>
      <c r="D11" s="1"/>
      <c r="E11" s="1"/>
      <c r="F11" s="2" t="s">
        <v>26</v>
      </c>
      <c r="H11" s="1" t="s">
        <v>45</v>
      </c>
      <c r="M11" s="2" t="s">
        <v>26</v>
      </c>
      <c r="O11" s="1" t="s">
        <v>45</v>
      </c>
      <c r="T11" s="2" t="s">
        <v>26</v>
      </c>
    </row>
    <row r="12" spans="1:28" x14ac:dyDescent="0.25">
      <c r="A12" s="1"/>
      <c r="B12" s="1"/>
      <c r="C12" s="1"/>
      <c r="D12" s="1"/>
      <c r="E12" s="1"/>
    </row>
    <row r="13" spans="1:28" x14ac:dyDescent="0.25">
      <c r="A13" s="1"/>
      <c r="B13" s="3" t="s">
        <v>10</v>
      </c>
      <c r="C13" s="3"/>
      <c r="D13" s="3"/>
      <c r="E13" s="3"/>
      <c r="F13" s="3"/>
      <c r="H13" s="1"/>
      <c r="I13" s="3" t="s">
        <v>10</v>
      </c>
      <c r="J13" s="3"/>
      <c r="K13" s="3"/>
      <c r="L13" s="3"/>
      <c r="M13" s="3"/>
      <c r="O13" s="1"/>
      <c r="P13" s="3" t="s">
        <v>10</v>
      </c>
      <c r="Q13" s="3"/>
      <c r="R13" s="3"/>
      <c r="S13" s="3"/>
      <c r="T13" s="3"/>
    </row>
    <row r="14" spans="1:28" x14ac:dyDescent="0.25">
      <c r="A14" s="1"/>
      <c r="B14" s="1" t="s">
        <v>1</v>
      </c>
      <c r="C14" s="1" t="s">
        <v>2</v>
      </c>
      <c r="D14" s="1" t="s">
        <v>35</v>
      </c>
      <c r="E14" s="1" t="s">
        <v>37</v>
      </c>
      <c r="F14" s="1" t="s">
        <v>36</v>
      </c>
      <c r="H14" s="1"/>
      <c r="I14" s="1" t="s">
        <v>1</v>
      </c>
      <c r="J14" s="1" t="s">
        <v>3</v>
      </c>
      <c r="K14" s="1" t="s">
        <v>35</v>
      </c>
      <c r="L14" s="1" t="s">
        <v>37</v>
      </c>
      <c r="M14" s="1" t="s">
        <v>36</v>
      </c>
      <c r="O14" s="1"/>
      <c r="P14" s="1" t="s">
        <v>1</v>
      </c>
      <c r="Q14" s="1" t="s">
        <v>4</v>
      </c>
      <c r="R14" s="1" t="s">
        <v>35</v>
      </c>
      <c r="S14" s="1" t="s">
        <v>37</v>
      </c>
      <c r="T14" s="1" t="s">
        <v>36</v>
      </c>
    </row>
    <row r="15" spans="1:28" x14ac:dyDescent="0.25">
      <c r="A15" s="1" t="s">
        <v>38</v>
      </c>
      <c r="B15" s="1">
        <v>89.5</v>
      </c>
      <c r="C15" s="1">
        <v>54</v>
      </c>
      <c r="D15" s="1">
        <f>B15-C15</f>
        <v>35.5</v>
      </c>
      <c r="E15" s="1">
        <v>35.5</v>
      </c>
      <c r="F15" s="2">
        <v>1</v>
      </c>
      <c r="H15" s="1" t="s">
        <v>38</v>
      </c>
      <c r="I15" s="1">
        <v>89.5</v>
      </c>
      <c r="J15" s="2">
        <v>52</v>
      </c>
      <c r="K15" s="1">
        <f>I15-J15</f>
        <v>37.5</v>
      </c>
      <c r="L15" s="2">
        <f>ABS(K15)</f>
        <v>37.5</v>
      </c>
      <c r="M15" s="2">
        <v>2</v>
      </c>
      <c r="O15" s="1" t="s">
        <v>38</v>
      </c>
      <c r="P15" s="1">
        <v>89.5</v>
      </c>
      <c r="Q15" s="2">
        <v>36</v>
      </c>
      <c r="R15" s="1">
        <f>P15-Q15</f>
        <v>53.5</v>
      </c>
      <c r="S15" s="2">
        <f>ABS(R15)</f>
        <v>53.5</v>
      </c>
      <c r="T15" s="2">
        <v>2</v>
      </c>
    </row>
    <row r="16" spans="1:28" x14ac:dyDescent="0.25">
      <c r="A16" s="1" t="s">
        <v>39</v>
      </c>
      <c r="B16" s="1">
        <v>86.5</v>
      </c>
      <c r="C16" s="1">
        <v>50</v>
      </c>
      <c r="D16" s="1">
        <f t="shared" ref="D16:D19" si="5">B16-C16</f>
        <v>36.5</v>
      </c>
      <c r="E16" s="1">
        <v>36.5</v>
      </c>
      <c r="F16" s="2">
        <v>2</v>
      </c>
      <c r="H16" s="1" t="s">
        <v>39</v>
      </c>
      <c r="I16" s="1">
        <v>86.5</v>
      </c>
      <c r="J16" s="2">
        <v>52</v>
      </c>
      <c r="K16" s="1">
        <f t="shared" ref="K16:K19" si="6">I16-J16</f>
        <v>34.5</v>
      </c>
      <c r="L16" s="2">
        <f t="shared" ref="L16:L19" si="7">ABS(K16)</f>
        <v>34.5</v>
      </c>
      <c r="M16" s="2">
        <v>1</v>
      </c>
      <c r="O16" s="1" t="s">
        <v>39</v>
      </c>
      <c r="P16" s="1">
        <v>86.5</v>
      </c>
      <c r="Q16" s="2">
        <v>36</v>
      </c>
      <c r="R16" s="1">
        <f t="shared" ref="R16:R19" si="8">P16-Q16</f>
        <v>50.5</v>
      </c>
      <c r="S16" s="2">
        <f t="shared" ref="S16:S19" si="9">ABS(R16)</f>
        <v>50.5</v>
      </c>
      <c r="T16" s="2">
        <v>1</v>
      </c>
    </row>
    <row r="17" spans="1:20" x14ac:dyDescent="0.25">
      <c r="A17" s="1" t="s">
        <v>40</v>
      </c>
      <c r="B17" s="1">
        <v>96</v>
      </c>
      <c r="C17" s="1">
        <v>48</v>
      </c>
      <c r="D17" s="1">
        <f t="shared" si="5"/>
        <v>48</v>
      </c>
      <c r="E17" s="1">
        <v>48</v>
      </c>
      <c r="F17" s="2">
        <v>5</v>
      </c>
      <c r="H17" s="1" t="s">
        <v>40</v>
      </c>
      <c r="I17" s="1">
        <v>96</v>
      </c>
      <c r="J17" s="2">
        <v>50</v>
      </c>
      <c r="K17" s="1">
        <f t="shared" si="6"/>
        <v>46</v>
      </c>
      <c r="L17" s="2">
        <f t="shared" si="7"/>
        <v>46</v>
      </c>
      <c r="M17" s="2">
        <v>4</v>
      </c>
      <c r="O17" s="1" t="s">
        <v>40</v>
      </c>
      <c r="P17" s="1">
        <v>96</v>
      </c>
      <c r="Q17" s="2">
        <v>32</v>
      </c>
      <c r="R17" s="1">
        <f t="shared" si="8"/>
        <v>64</v>
      </c>
      <c r="S17" s="2">
        <f t="shared" si="9"/>
        <v>64</v>
      </c>
      <c r="T17" s="2">
        <v>3</v>
      </c>
    </row>
    <row r="18" spans="1:20" x14ac:dyDescent="0.25">
      <c r="A18" s="1" t="s">
        <v>41</v>
      </c>
      <c r="B18" s="1">
        <v>91.5</v>
      </c>
      <c r="C18" s="1">
        <v>50</v>
      </c>
      <c r="D18" s="1">
        <f t="shared" si="5"/>
        <v>41.5</v>
      </c>
      <c r="E18" s="1">
        <v>41.5</v>
      </c>
      <c r="F18" s="2">
        <v>3</v>
      </c>
      <c r="H18" s="1" t="s">
        <v>41</v>
      </c>
      <c r="I18" s="1">
        <v>91.5</v>
      </c>
      <c r="J18" s="2">
        <v>46</v>
      </c>
      <c r="K18" s="1">
        <f t="shared" si="6"/>
        <v>45.5</v>
      </c>
      <c r="L18" s="2">
        <f t="shared" si="7"/>
        <v>45.5</v>
      </c>
      <c r="M18" s="2">
        <v>3</v>
      </c>
      <c r="O18" s="1" t="s">
        <v>41</v>
      </c>
      <c r="P18" s="1">
        <v>91.5</v>
      </c>
      <c r="Q18" s="2">
        <v>38</v>
      </c>
      <c r="R18" s="1">
        <f t="shared" si="8"/>
        <v>53.5</v>
      </c>
      <c r="S18" s="2">
        <f t="shared" si="9"/>
        <v>53.5</v>
      </c>
      <c r="T18" s="2">
        <v>2</v>
      </c>
    </row>
    <row r="19" spans="1:20" x14ac:dyDescent="0.25">
      <c r="A19" s="1" t="s">
        <v>42</v>
      </c>
      <c r="B19" s="1">
        <v>97.5</v>
      </c>
      <c r="C19" s="1">
        <v>52</v>
      </c>
      <c r="D19" s="1">
        <f t="shared" si="5"/>
        <v>45.5</v>
      </c>
      <c r="E19" s="1">
        <v>45.5</v>
      </c>
      <c r="F19" s="2">
        <v>4</v>
      </c>
      <c r="H19" s="1" t="s">
        <v>42</v>
      </c>
      <c r="I19" s="1">
        <v>97.5</v>
      </c>
      <c r="J19" s="2">
        <v>50</v>
      </c>
      <c r="K19" s="1">
        <f t="shared" si="6"/>
        <v>47.5</v>
      </c>
      <c r="L19" s="2">
        <f t="shared" si="7"/>
        <v>47.5</v>
      </c>
      <c r="M19" s="2">
        <v>5</v>
      </c>
      <c r="O19" s="1" t="s">
        <v>42</v>
      </c>
      <c r="P19" s="1">
        <v>97.5</v>
      </c>
      <c r="Q19" s="2">
        <v>32</v>
      </c>
      <c r="R19" s="1">
        <f t="shared" si="8"/>
        <v>65.5</v>
      </c>
      <c r="S19" s="2">
        <f t="shared" si="9"/>
        <v>65.5</v>
      </c>
      <c r="T19" s="2">
        <v>4</v>
      </c>
    </row>
    <row r="20" spans="1:20" x14ac:dyDescent="0.25">
      <c r="A20" s="1" t="s">
        <v>43</v>
      </c>
      <c r="B20" s="1"/>
      <c r="C20" s="1"/>
      <c r="D20" s="1"/>
      <c r="E20" s="1"/>
      <c r="F20" s="2">
        <v>15</v>
      </c>
      <c r="H20" s="1" t="s">
        <v>43</v>
      </c>
      <c r="M20" s="2">
        <v>15</v>
      </c>
      <c r="O20" s="1" t="s">
        <v>43</v>
      </c>
      <c r="T20" s="2">
        <v>12</v>
      </c>
    </row>
    <row r="21" spans="1:20" x14ac:dyDescent="0.25">
      <c r="A21" s="1" t="s">
        <v>44</v>
      </c>
      <c r="B21" s="1"/>
      <c r="C21" s="1"/>
      <c r="D21" s="1"/>
      <c r="E21" s="1"/>
      <c r="F21" s="2">
        <v>0</v>
      </c>
      <c r="H21" s="1" t="s">
        <v>44</v>
      </c>
      <c r="M21" s="2">
        <v>0</v>
      </c>
      <c r="O21" s="1" t="s">
        <v>44</v>
      </c>
      <c r="T21" s="2">
        <v>0</v>
      </c>
    </row>
    <row r="22" spans="1:20" x14ac:dyDescent="0.25">
      <c r="A22" s="1" t="s">
        <v>46</v>
      </c>
      <c r="B22" s="1"/>
      <c r="C22" s="1"/>
      <c r="D22" s="1"/>
      <c r="E22" s="1"/>
      <c r="F22" s="2">
        <v>0</v>
      </c>
      <c r="H22" s="1" t="s">
        <v>46</v>
      </c>
      <c r="M22" s="2">
        <v>0</v>
      </c>
      <c r="O22" s="1" t="s">
        <v>46</v>
      </c>
      <c r="T22" s="2">
        <v>0</v>
      </c>
    </row>
    <row r="23" spans="1:20" x14ac:dyDescent="0.25">
      <c r="A23" s="1" t="s">
        <v>45</v>
      </c>
      <c r="B23" s="1"/>
      <c r="C23" s="1"/>
      <c r="D23" s="1"/>
      <c r="E23" s="1"/>
      <c r="F23" s="2" t="s">
        <v>26</v>
      </c>
      <c r="H23" s="1" t="s">
        <v>45</v>
      </c>
      <c r="M23" s="2" t="s">
        <v>26</v>
      </c>
      <c r="O23" s="1" t="s">
        <v>45</v>
      </c>
      <c r="T23" s="2" t="s">
        <v>26</v>
      </c>
    </row>
    <row r="24" spans="1:20" x14ac:dyDescent="0.25">
      <c r="A24" s="1"/>
      <c r="B24" s="1"/>
      <c r="C24" s="1"/>
      <c r="D24" s="1"/>
      <c r="E24" s="1"/>
    </row>
    <row r="25" spans="1:20" x14ac:dyDescent="0.25">
      <c r="A25" s="1"/>
      <c r="B25" s="3" t="s">
        <v>11</v>
      </c>
      <c r="C25" s="3"/>
      <c r="D25" s="3"/>
      <c r="E25" s="3"/>
      <c r="F25" s="3"/>
      <c r="H25" s="1"/>
      <c r="I25" s="3" t="s">
        <v>11</v>
      </c>
      <c r="J25" s="3"/>
      <c r="K25" s="3"/>
      <c r="L25" s="3"/>
      <c r="M25" s="3"/>
      <c r="O25" s="1"/>
      <c r="P25" s="3" t="s">
        <v>11</v>
      </c>
      <c r="Q25" s="3"/>
      <c r="R25" s="3"/>
      <c r="S25" s="3"/>
      <c r="T25" s="3"/>
    </row>
    <row r="26" spans="1:20" x14ac:dyDescent="0.25">
      <c r="A26" s="1"/>
      <c r="B26" s="1" t="s">
        <v>1</v>
      </c>
      <c r="C26" s="1" t="s">
        <v>2</v>
      </c>
      <c r="D26" s="1" t="s">
        <v>35</v>
      </c>
      <c r="E26" s="1" t="s">
        <v>37</v>
      </c>
      <c r="F26" s="1" t="s">
        <v>36</v>
      </c>
      <c r="H26" s="1"/>
      <c r="I26" s="1" t="s">
        <v>1</v>
      </c>
      <c r="J26" s="1" t="s">
        <v>3</v>
      </c>
      <c r="K26" s="1" t="s">
        <v>35</v>
      </c>
      <c r="L26" s="1" t="s">
        <v>37</v>
      </c>
      <c r="M26" s="1" t="s">
        <v>36</v>
      </c>
      <c r="O26" s="1"/>
      <c r="P26" s="1" t="s">
        <v>1</v>
      </c>
      <c r="Q26" s="1" t="s">
        <v>4</v>
      </c>
      <c r="R26" s="1" t="s">
        <v>35</v>
      </c>
      <c r="S26" s="1" t="s">
        <v>37</v>
      </c>
      <c r="T26" s="1" t="s">
        <v>36</v>
      </c>
    </row>
    <row r="27" spans="1:20" x14ac:dyDescent="0.25">
      <c r="A27" s="1" t="s">
        <v>38</v>
      </c>
      <c r="B27" s="1">
        <v>59.8</v>
      </c>
      <c r="C27" s="1">
        <v>35.6</v>
      </c>
      <c r="D27" s="1">
        <f>B27-C27</f>
        <v>24.199999999999996</v>
      </c>
      <c r="E27" s="1">
        <v>24.199999999999996</v>
      </c>
      <c r="F27" s="2">
        <v>5</v>
      </c>
      <c r="H27" s="1" t="s">
        <v>38</v>
      </c>
      <c r="I27" s="1">
        <v>59.8</v>
      </c>
      <c r="J27" s="1">
        <v>30.93</v>
      </c>
      <c r="K27" s="1">
        <f>I27-J27</f>
        <v>28.869999999999997</v>
      </c>
      <c r="L27" s="2">
        <f>ABS(K27)</f>
        <v>28.869999999999997</v>
      </c>
      <c r="M27" s="2">
        <v>5</v>
      </c>
      <c r="O27" s="1" t="s">
        <v>38</v>
      </c>
      <c r="P27" s="1">
        <v>59.8</v>
      </c>
      <c r="Q27" s="1">
        <v>21.04</v>
      </c>
      <c r="R27" s="1">
        <f>P27-Q27</f>
        <v>38.76</v>
      </c>
      <c r="S27" s="2">
        <f>ABS(R27)</f>
        <v>38.76</v>
      </c>
      <c r="T27" s="2">
        <v>5</v>
      </c>
    </row>
    <row r="28" spans="1:20" x14ac:dyDescent="0.25">
      <c r="A28" s="1" t="s">
        <v>39</v>
      </c>
      <c r="B28" s="1">
        <v>64.099999999999994</v>
      </c>
      <c r="C28" s="1">
        <v>43.3</v>
      </c>
      <c r="D28" s="1">
        <f t="shared" ref="D28:D31" si="10">B28-C28</f>
        <v>20.799999999999997</v>
      </c>
      <c r="E28" s="1">
        <v>20.799999999999997</v>
      </c>
      <c r="F28" s="2">
        <v>4</v>
      </c>
      <c r="H28" s="1" t="s">
        <v>39</v>
      </c>
      <c r="I28" s="1">
        <v>64.099999999999994</v>
      </c>
      <c r="J28" s="1">
        <v>38.479999999999997</v>
      </c>
      <c r="K28" s="1">
        <f t="shared" ref="K28:K31" si="11">I28-J28</f>
        <v>25.619999999999997</v>
      </c>
      <c r="L28" s="2">
        <f t="shared" ref="L28:L31" si="12">ABS(K28)</f>
        <v>25.619999999999997</v>
      </c>
      <c r="M28" s="2">
        <v>4</v>
      </c>
      <c r="O28" s="1" t="s">
        <v>39</v>
      </c>
      <c r="P28" s="1">
        <v>64.099999999999994</v>
      </c>
      <c r="Q28" s="1">
        <v>27.82</v>
      </c>
      <c r="R28" s="1">
        <f t="shared" ref="R28:R31" si="13">P28-Q28</f>
        <v>36.279999999999994</v>
      </c>
      <c r="S28" s="2">
        <f t="shared" ref="S28:S31" si="14">ABS(R28)</f>
        <v>36.279999999999994</v>
      </c>
      <c r="T28" s="2">
        <v>4</v>
      </c>
    </row>
    <row r="29" spans="1:20" x14ac:dyDescent="0.25">
      <c r="A29" s="1" t="s">
        <v>40</v>
      </c>
      <c r="B29" s="1">
        <v>59.6</v>
      </c>
      <c r="C29" s="1">
        <v>39.9</v>
      </c>
      <c r="D29" s="1">
        <f t="shared" si="10"/>
        <v>19.700000000000003</v>
      </c>
      <c r="E29" s="1">
        <v>19.700000000000003</v>
      </c>
      <c r="F29" s="2">
        <v>3</v>
      </c>
      <c r="H29" s="1" t="s">
        <v>40</v>
      </c>
      <c r="I29" s="1">
        <v>59.6</v>
      </c>
      <c r="J29" s="1">
        <v>39.380000000000003</v>
      </c>
      <c r="K29" s="1">
        <f t="shared" si="11"/>
        <v>20.22</v>
      </c>
      <c r="L29" s="2">
        <f t="shared" si="12"/>
        <v>20.22</v>
      </c>
      <c r="M29" s="2">
        <v>3</v>
      </c>
      <c r="O29" s="1" t="s">
        <v>40</v>
      </c>
      <c r="P29" s="1">
        <v>59.6</v>
      </c>
      <c r="Q29" s="1">
        <v>27.82</v>
      </c>
      <c r="R29" s="1">
        <f t="shared" si="13"/>
        <v>31.78</v>
      </c>
      <c r="S29" s="2">
        <f t="shared" si="14"/>
        <v>31.78</v>
      </c>
      <c r="T29" s="2">
        <v>2</v>
      </c>
    </row>
    <row r="30" spans="1:20" x14ac:dyDescent="0.25">
      <c r="A30" s="1" t="s">
        <v>41</v>
      </c>
      <c r="B30" s="1">
        <v>60.9</v>
      </c>
      <c r="C30" s="1">
        <v>43.3</v>
      </c>
      <c r="D30" s="1">
        <f t="shared" si="10"/>
        <v>17.600000000000001</v>
      </c>
      <c r="E30" s="1">
        <v>17.600000000000001</v>
      </c>
      <c r="F30" s="2">
        <v>1</v>
      </c>
      <c r="H30" s="1" t="s">
        <v>41</v>
      </c>
      <c r="I30" s="1">
        <v>60.9</v>
      </c>
      <c r="J30" s="1">
        <v>42.83</v>
      </c>
      <c r="K30" s="1">
        <f t="shared" si="11"/>
        <v>18.07</v>
      </c>
      <c r="L30" s="2">
        <f t="shared" si="12"/>
        <v>18.07</v>
      </c>
      <c r="M30" s="2">
        <v>2</v>
      </c>
      <c r="O30" s="1" t="s">
        <v>41</v>
      </c>
      <c r="P30" s="1">
        <v>60.9</v>
      </c>
      <c r="Q30" s="1">
        <v>29.04</v>
      </c>
      <c r="R30" s="1">
        <f t="shared" si="13"/>
        <v>31.86</v>
      </c>
      <c r="S30" s="2">
        <f t="shared" si="14"/>
        <v>31.86</v>
      </c>
      <c r="T30" s="2">
        <v>3</v>
      </c>
    </row>
    <row r="31" spans="1:20" x14ac:dyDescent="0.25">
      <c r="A31" s="1" t="s">
        <v>42</v>
      </c>
      <c r="B31" s="1">
        <v>57.8</v>
      </c>
      <c r="C31" s="1">
        <v>40.1</v>
      </c>
      <c r="D31" s="1">
        <f t="shared" si="10"/>
        <v>17.699999999999996</v>
      </c>
      <c r="E31" s="1">
        <v>17.699999999999996</v>
      </c>
      <c r="F31" s="2">
        <v>2</v>
      </c>
      <c r="H31" s="1" t="s">
        <v>42</v>
      </c>
      <c r="I31" s="1">
        <v>57.8</v>
      </c>
      <c r="J31" s="1">
        <v>39.79</v>
      </c>
      <c r="K31" s="1">
        <f t="shared" si="11"/>
        <v>18.009999999999998</v>
      </c>
      <c r="L31" s="2">
        <f t="shared" si="12"/>
        <v>18.009999999999998</v>
      </c>
      <c r="M31" s="2">
        <v>1</v>
      </c>
      <c r="O31" s="1" t="s">
        <v>42</v>
      </c>
      <c r="P31" s="1">
        <v>57.8</v>
      </c>
      <c r="Q31" s="1">
        <v>32</v>
      </c>
      <c r="R31" s="1">
        <f t="shared" si="13"/>
        <v>25.799999999999997</v>
      </c>
      <c r="S31" s="2">
        <f t="shared" si="14"/>
        <v>25.799999999999997</v>
      </c>
      <c r="T31" s="2">
        <v>1</v>
      </c>
    </row>
    <row r="32" spans="1:20" x14ac:dyDescent="0.25">
      <c r="A32" s="1" t="s">
        <v>43</v>
      </c>
      <c r="B32" s="1"/>
      <c r="C32" s="1"/>
      <c r="D32" s="1"/>
      <c r="E32" s="1"/>
      <c r="F32" s="2">
        <v>15</v>
      </c>
      <c r="H32" s="1" t="s">
        <v>43</v>
      </c>
      <c r="M32" s="2">
        <v>15</v>
      </c>
      <c r="O32" s="1" t="s">
        <v>43</v>
      </c>
      <c r="R32" s="1"/>
      <c r="T32" s="2">
        <v>15</v>
      </c>
    </row>
    <row r="33" spans="1:20" x14ac:dyDescent="0.25">
      <c r="A33" s="1" t="s">
        <v>44</v>
      </c>
      <c r="B33" s="1"/>
      <c r="C33" s="1"/>
      <c r="D33" s="1"/>
      <c r="E33" s="1"/>
      <c r="F33" s="2">
        <v>0</v>
      </c>
      <c r="H33" s="1" t="s">
        <v>44</v>
      </c>
      <c r="M33" s="2">
        <v>0</v>
      </c>
      <c r="O33" s="1" t="s">
        <v>44</v>
      </c>
      <c r="T33" s="2">
        <v>0</v>
      </c>
    </row>
    <row r="34" spans="1:20" x14ac:dyDescent="0.25">
      <c r="A34" s="1" t="s">
        <v>46</v>
      </c>
      <c r="B34" s="1"/>
      <c r="C34" s="1"/>
      <c r="D34" s="1"/>
      <c r="E34" s="1"/>
      <c r="F34" s="2">
        <v>0</v>
      </c>
      <c r="H34" s="1" t="s">
        <v>46</v>
      </c>
      <c r="M34" s="2">
        <v>0</v>
      </c>
      <c r="O34" s="1" t="s">
        <v>46</v>
      </c>
      <c r="T34" s="2">
        <v>0</v>
      </c>
    </row>
    <row r="35" spans="1:20" x14ac:dyDescent="0.25">
      <c r="A35" s="1" t="s">
        <v>45</v>
      </c>
      <c r="B35" s="1"/>
      <c r="C35" s="1"/>
      <c r="D35" s="1"/>
      <c r="E35" s="1"/>
      <c r="F35" s="2" t="s">
        <v>26</v>
      </c>
      <c r="H35" s="1" t="s">
        <v>45</v>
      </c>
      <c r="M35" s="2" t="s">
        <v>26</v>
      </c>
      <c r="O35" s="1" t="s">
        <v>45</v>
      </c>
      <c r="T35" s="2" t="s">
        <v>26</v>
      </c>
    </row>
    <row r="36" spans="1:20" x14ac:dyDescent="0.25">
      <c r="A36" s="1"/>
      <c r="B36" s="1"/>
      <c r="C36" s="1"/>
      <c r="D36" s="1"/>
      <c r="E36" s="1"/>
    </row>
    <row r="37" spans="1:20" x14ac:dyDescent="0.25">
      <c r="A37" s="1"/>
      <c r="B37" s="3" t="s">
        <v>14</v>
      </c>
      <c r="C37" s="3"/>
      <c r="D37" s="3"/>
      <c r="E37" s="3"/>
      <c r="F37" s="3"/>
      <c r="H37" s="1"/>
      <c r="I37" s="3" t="s">
        <v>14</v>
      </c>
      <c r="J37" s="3"/>
      <c r="K37" s="3"/>
      <c r="L37" s="3"/>
      <c r="M37" s="3"/>
      <c r="O37" s="1"/>
      <c r="P37" s="3" t="s">
        <v>14</v>
      </c>
      <c r="Q37" s="3"/>
      <c r="R37" s="3"/>
      <c r="S37" s="3"/>
      <c r="T37" s="3"/>
    </row>
    <row r="38" spans="1:20" x14ac:dyDescent="0.25">
      <c r="A38" s="1"/>
      <c r="B38" s="1" t="s">
        <v>1</v>
      </c>
      <c r="C38" s="1" t="s">
        <v>2</v>
      </c>
      <c r="D38" s="1" t="s">
        <v>35</v>
      </c>
      <c r="E38" s="1" t="s">
        <v>37</v>
      </c>
      <c r="F38" s="1" t="s">
        <v>36</v>
      </c>
      <c r="H38" s="1"/>
      <c r="I38" s="1" t="s">
        <v>1</v>
      </c>
      <c r="J38" s="1" t="s">
        <v>3</v>
      </c>
      <c r="K38" s="1" t="s">
        <v>35</v>
      </c>
      <c r="L38" s="1" t="s">
        <v>37</v>
      </c>
      <c r="M38" s="1" t="s">
        <v>36</v>
      </c>
      <c r="O38" s="1"/>
      <c r="P38" s="1" t="s">
        <v>1</v>
      </c>
      <c r="Q38" s="1" t="s">
        <v>4</v>
      </c>
      <c r="R38" s="1" t="s">
        <v>35</v>
      </c>
      <c r="S38" s="1" t="s">
        <v>37</v>
      </c>
      <c r="T38" s="1" t="s">
        <v>36</v>
      </c>
    </row>
    <row r="39" spans="1:20" x14ac:dyDescent="0.25">
      <c r="A39" s="1" t="s">
        <v>38</v>
      </c>
      <c r="B39" s="1">
        <v>53.1</v>
      </c>
      <c r="C39" s="1">
        <v>86.1</v>
      </c>
      <c r="D39" s="1">
        <f>B39-C39</f>
        <v>-32.999999999999993</v>
      </c>
      <c r="E39" s="1">
        <f>ABS(D39)</f>
        <v>32.999999999999993</v>
      </c>
      <c r="F39" s="2">
        <v>1</v>
      </c>
      <c r="H39" s="1" t="s">
        <v>38</v>
      </c>
      <c r="I39" s="1">
        <v>53.1</v>
      </c>
      <c r="J39" s="2">
        <v>83.3</v>
      </c>
      <c r="K39" s="1">
        <f>I39-J39</f>
        <v>-30.199999999999996</v>
      </c>
      <c r="L39" s="2">
        <f>ABS(K39)</f>
        <v>30.199999999999996</v>
      </c>
      <c r="M39" s="2">
        <v>1</v>
      </c>
      <c r="O39" s="1" t="s">
        <v>38</v>
      </c>
      <c r="P39" s="1">
        <v>53.1</v>
      </c>
      <c r="Q39" s="2">
        <v>58</v>
      </c>
      <c r="R39" s="1">
        <f>P39-Q39</f>
        <v>-4.8999999999999986</v>
      </c>
      <c r="S39" s="2">
        <f>ABS(R39)</f>
        <v>4.8999999999999986</v>
      </c>
      <c r="T39" s="2">
        <v>1</v>
      </c>
    </row>
    <row r="40" spans="1:20" x14ac:dyDescent="0.25">
      <c r="A40" s="1" t="s">
        <v>39</v>
      </c>
      <c r="B40" s="1">
        <v>44</v>
      </c>
      <c r="C40" s="1">
        <v>90.9</v>
      </c>
      <c r="D40" s="1">
        <f t="shared" ref="D40:D43" si="15">B40-C40</f>
        <v>-46.900000000000006</v>
      </c>
      <c r="E40" s="1">
        <f t="shared" ref="E40:E43" si="16">ABS(D40)</f>
        <v>46.900000000000006</v>
      </c>
      <c r="F40" s="2">
        <v>4</v>
      </c>
      <c r="H40" s="1" t="s">
        <v>39</v>
      </c>
      <c r="I40" s="1">
        <v>44</v>
      </c>
      <c r="J40" s="2">
        <v>86.1</v>
      </c>
      <c r="K40" s="1">
        <f t="shared" ref="K40:K43" si="17">I40-J40</f>
        <v>-42.099999999999994</v>
      </c>
      <c r="L40" s="2">
        <f t="shared" ref="L40:L43" si="18">ABS(K40)</f>
        <v>42.099999999999994</v>
      </c>
      <c r="M40" s="2">
        <v>4</v>
      </c>
      <c r="O40" s="1" t="s">
        <v>39</v>
      </c>
      <c r="P40" s="1">
        <v>44</v>
      </c>
      <c r="Q40" s="2">
        <v>62</v>
      </c>
      <c r="R40" s="1">
        <f t="shared" ref="R40:R43" si="19">P40-Q40</f>
        <v>-18</v>
      </c>
      <c r="S40" s="2">
        <f t="shared" ref="S40:S43" si="20">ABS(R40)</f>
        <v>18</v>
      </c>
      <c r="T40" s="2">
        <v>4</v>
      </c>
    </row>
    <row r="41" spans="1:20" x14ac:dyDescent="0.25">
      <c r="A41" s="1" t="s">
        <v>40</v>
      </c>
      <c r="B41" s="1">
        <v>43.8</v>
      </c>
      <c r="C41" s="1">
        <v>83.8</v>
      </c>
      <c r="D41" s="1">
        <f t="shared" si="15"/>
        <v>-40</v>
      </c>
      <c r="E41" s="1">
        <f t="shared" si="16"/>
        <v>40</v>
      </c>
      <c r="F41" s="2">
        <v>2</v>
      </c>
      <c r="H41" s="1" t="s">
        <v>40</v>
      </c>
      <c r="I41" s="1">
        <v>43.8</v>
      </c>
      <c r="J41" s="2">
        <v>80</v>
      </c>
      <c r="K41" s="1">
        <f t="shared" si="17"/>
        <v>-36.200000000000003</v>
      </c>
      <c r="L41" s="2">
        <f t="shared" si="18"/>
        <v>36.200000000000003</v>
      </c>
      <c r="M41" s="2">
        <v>2</v>
      </c>
      <c r="O41" s="1" t="s">
        <v>40</v>
      </c>
      <c r="P41" s="1">
        <v>43.8</v>
      </c>
      <c r="Q41" s="2">
        <v>64</v>
      </c>
      <c r="R41" s="1">
        <f t="shared" si="19"/>
        <v>-20.200000000000003</v>
      </c>
      <c r="S41" s="2">
        <f t="shared" si="20"/>
        <v>20.200000000000003</v>
      </c>
      <c r="T41" s="2">
        <v>5</v>
      </c>
    </row>
    <row r="42" spans="1:20" x14ac:dyDescent="0.25">
      <c r="A42" s="1" t="s">
        <v>41</v>
      </c>
      <c r="B42" s="1">
        <v>44.2</v>
      </c>
      <c r="C42" s="1">
        <v>94.3</v>
      </c>
      <c r="D42" s="1">
        <f t="shared" si="15"/>
        <v>-50.099999999999994</v>
      </c>
      <c r="E42" s="1">
        <f t="shared" si="16"/>
        <v>50.099999999999994</v>
      </c>
      <c r="F42" s="2">
        <v>5</v>
      </c>
      <c r="H42" s="1" t="s">
        <v>41</v>
      </c>
      <c r="I42" s="1">
        <v>44.2</v>
      </c>
      <c r="J42" s="2">
        <v>89.5</v>
      </c>
      <c r="K42" s="1">
        <f t="shared" si="17"/>
        <v>-45.3</v>
      </c>
      <c r="L42" s="2">
        <f t="shared" si="18"/>
        <v>45.3</v>
      </c>
      <c r="M42" s="2">
        <v>5</v>
      </c>
      <c r="O42" s="1" t="s">
        <v>41</v>
      </c>
      <c r="P42" s="1">
        <v>44.2</v>
      </c>
      <c r="Q42" s="2">
        <v>60</v>
      </c>
      <c r="R42" s="1">
        <f t="shared" si="19"/>
        <v>-15.799999999999997</v>
      </c>
      <c r="S42" s="2">
        <f t="shared" si="20"/>
        <v>15.799999999999997</v>
      </c>
      <c r="T42" s="2">
        <v>2</v>
      </c>
    </row>
    <row r="43" spans="1:20" x14ac:dyDescent="0.25">
      <c r="A43" s="1" t="s">
        <v>42</v>
      </c>
      <c r="B43" s="1">
        <v>43.1</v>
      </c>
      <c r="C43" s="1">
        <v>84.2</v>
      </c>
      <c r="D43" s="1">
        <f t="shared" si="15"/>
        <v>-41.1</v>
      </c>
      <c r="E43" s="1">
        <f t="shared" si="16"/>
        <v>41.1</v>
      </c>
      <c r="F43" s="2">
        <v>3</v>
      </c>
      <c r="H43" s="1" t="s">
        <v>42</v>
      </c>
      <c r="I43" s="1">
        <v>43.1</v>
      </c>
      <c r="J43" s="2">
        <v>82.9</v>
      </c>
      <c r="K43" s="1">
        <f t="shared" si="17"/>
        <v>-39.800000000000004</v>
      </c>
      <c r="L43" s="2">
        <f t="shared" si="18"/>
        <v>39.800000000000004</v>
      </c>
      <c r="M43" s="2">
        <v>3</v>
      </c>
      <c r="O43" s="1" t="s">
        <v>42</v>
      </c>
      <c r="P43" s="1">
        <v>43.1</v>
      </c>
      <c r="Q43" s="2">
        <v>60</v>
      </c>
      <c r="R43" s="1">
        <f t="shared" si="19"/>
        <v>-16.899999999999999</v>
      </c>
      <c r="S43" s="2">
        <f t="shared" si="20"/>
        <v>16.899999999999999</v>
      </c>
      <c r="T43" s="2">
        <v>3</v>
      </c>
    </row>
    <row r="44" spans="1:20" x14ac:dyDescent="0.25">
      <c r="A44" s="1" t="s">
        <v>43</v>
      </c>
      <c r="B44" s="1"/>
      <c r="C44" s="1"/>
      <c r="D44" s="1"/>
      <c r="E44" s="1"/>
      <c r="F44" s="2">
        <v>0</v>
      </c>
      <c r="H44" s="1" t="s">
        <v>43</v>
      </c>
      <c r="M44" s="2">
        <v>0</v>
      </c>
      <c r="O44" s="1" t="s">
        <v>43</v>
      </c>
      <c r="T44" s="2">
        <v>0</v>
      </c>
    </row>
    <row r="45" spans="1:20" x14ac:dyDescent="0.25">
      <c r="A45" s="1" t="s">
        <v>44</v>
      </c>
      <c r="B45" s="1"/>
      <c r="C45" s="1"/>
      <c r="D45" s="1"/>
      <c r="E45" s="1"/>
      <c r="F45" s="2">
        <v>15</v>
      </c>
      <c r="H45" s="1" t="s">
        <v>44</v>
      </c>
      <c r="M45" s="2">
        <v>15</v>
      </c>
      <c r="O45" s="1" t="s">
        <v>44</v>
      </c>
      <c r="T45" s="2">
        <v>15</v>
      </c>
    </row>
    <row r="46" spans="1:20" x14ac:dyDescent="0.25">
      <c r="A46" s="1" t="s">
        <v>46</v>
      </c>
      <c r="B46" s="1"/>
      <c r="C46" s="1"/>
      <c r="D46" s="1"/>
      <c r="E46" s="1"/>
      <c r="F46" s="2">
        <v>0</v>
      </c>
      <c r="H46" s="1" t="s">
        <v>46</v>
      </c>
      <c r="M46" s="2">
        <v>0</v>
      </c>
      <c r="O46" s="1" t="s">
        <v>46</v>
      </c>
      <c r="T46" s="2">
        <v>0</v>
      </c>
    </row>
    <row r="47" spans="1:20" x14ac:dyDescent="0.25">
      <c r="A47" s="1" t="s">
        <v>45</v>
      </c>
      <c r="B47" s="1"/>
      <c r="C47" s="1"/>
      <c r="D47" s="1"/>
      <c r="E47" s="1"/>
      <c r="F47" s="2" t="s">
        <v>26</v>
      </c>
      <c r="H47" s="1" t="s">
        <v>45</v>
      </c>
      <c r="M47" s="2" t="s">
        <v>26</v>
      </c>
      <c r="O47" s="1" t="s">
        <v>45</v>
      </c>
      <c r="T47" s="2" t="s">
        <v>26</v>
      </c>
    </row>
    <row r="48" spans="1:20" x14ac:dyDescent="0.25">
      <c r="A48" s="1"/>
      <c r="B48" s="1"/>
      <c r="C48" s="1"/>
      <c r="D48" s="1"/>
      <c r="E48" s="1"/>
    </row>
    <row r="49" spans="1:20" x14ac:dyDescent="0.25">
      <c r="A49" s="1"/>
      <c r="B49" s="3" t="s">
        <v>16</v>
      </c>
      <c r="C49" s="3"/>
      <c r="D49" s="3"/>
      <c r="E49" s="3"/>
      <c r="F49" s="3"/>
      <c r="H49" s="1"/>
      <c r="I49" s="3" t="s">
        <v>16</v>
      </c>
      <c r="J49" s="3"/>
      <c r="K49" s="3"/>
      <c r="L49" s="3"/>
      <c r="M49" s="3"/>
      <c r="O49" s="1"/>
      <c r="P49" s="3" t="s">
        <v>16</v>
      </c>
      <c r="Q49" s="3"/>
      <c r="R49" s="3"/>
      <c r="S49" s="3"/>
      <c r="T49" s="3"/>
    </row>
    <row r="50" spans="1:20" x14ac:dyDescent="0.25">
      <c r="A50" s="1"/>
      <c r="B50" s="1" t="s">
        <v>1</v>
      </c>
      <c r="C50" s="1" t="s">
        <v>2</v>
      </c>
      <c r="D50" s="1" t="s">
        <v>35</v>
      </c>
      <c r="E50" s="1" t="s">
        <v>37</v>
      </c>
      <c r="F50" s="1" t="s">
        <v>36</v>
      </c>
      <c r="H50" s="1"/>
      <c r="I50" s="1" t="s">
        <v>1</v>
      </c>
      <c r="J50" s="1" t="s">
        <v>3</v>
      </c>
      <c r="K50" s="1" t="s">
        <v>35</v>
      </c>
      <c r="L50" s="1" t="s">
        <v>37</v>
      </c>
      <c r="M50" s="1" t="s">
        <v>36</v>
      </c>
      <c r="O50" s="1"/>
      <c r="P50" s="1" t="s">
        <v>1</v>
      </c>
      <c r="Q50" s="1" t="s">
        <v>4</v>
      </c>
      <c r="R50" s="1" t="s">
        <v>35</v>
      </c>
      <c r="S50" s="1" t="s">
        <v>37</v>
      </c>
      <c r="T50" s="1" t="s">
        <v>36</v>
      </c>
    </row>
    <row r="51" spans="1:20" x14ac:dyDescent="0.25">
      <c r="A51" s="1" t="s">
        <v>38</v>
      </c>
      <c r="B51" s="1">
        <v>0</v>
      </c>
      <c r="C51" s="1">
        <v>13.9</v>
      </c>
      <c r="D51" s="1">
        <f>B51-C51</f>
        <v>-13.9</v>
      </c>
      <c r="E51" s="1">
        <f>ABS(D51)</f>
        <v>13.9</v>
      </c>
      <c r="F51" s="2">
        <v>5</v>
      </c>
      <c r="H51" s="1" t="s">
        <v>38</v>
      </c>
      <c r="I51" s="1">
        <v>0</v>
      </c>
      <c r="J51" s="2">
        <v>16.7</v>
      </c>
      <c r="K51" s="1">
        <f>I51-J51</f>
        <v>-16.7</v>
      </c>
      <c r="L51" s="2">
        <f>ABS(K51)</f>
        <v>16.7</v>
      </c>
      <c r="M51" s="2">
        <v>5</v>
      </c>
      <c r="O51" s="1" t="s">
        <v>38</v>
      </c>
      <c r="P51" s="1">
        <v>0</v>
      </c>
      <c r="Q51" s="2">
        <v>42</v>
      </c>
      <c r="R51" s="1">
        <f>P51-Q51</f>
        <v>-42</v>
      </c>
      <c r="S51" s="2">
        <f>ABS(R51)</f>
        <v>42</v>
      </c>
      <c r="T51" s="2">
        <v>5</v>
      </c>
    </row>
    <row r="52" spans="1:20" x14ac:dyDescent="0.25">
      <c r="A52" s="1" t="s">
        <v>39</v>
      </c>
      <c r="B52" s="1">
        <v>0</v>
      </c>
      <c r="C52" s="1">
        <v>9</v>
      </c>
      <c r="D52" s="1">
        <f t="shared" ref="D52:D55" si="21">B52-C52</f>
        <v>-9</v>
      </c>
      <c r="E52" s="1">
        <f t="shared" ref="E52:E55" si="22">ABS(D52)</f>
        <v>9</v>
      </c>
      <c r="F52" s="2">
        <v>3</v>
      </c>
      <c r="H52" s="1" t="s">
        <v>39</v>
      </c>
      <c r="I52" s="1">
        <v>0</v>
      </c>
      <c r="J52" s="2">
        <v>13.9</v>
      </c>
      <c r="K52" s="1">
        <f t="shared" ref="K52:K55" si="23">I52-J52</f>
        <v>-13.9</v>
      </c>
      <c r="L52" s="2">
        <f t="shared" ref="L52:L55" si="24">ABS(K52)</f>
        <v>13.9</v>
      </c>
      <c r="M52" s="2">
        <v>4</v>
      </c>
      <c r="O52" s="1" t="s">
        <v>39</v>
      </c>
      <c r="P52" s="1">
        <v>0</v>
      </c>
      <c r="Q52" s="2">
        <v>38</v>
      </c>
      <c r="R52" s="1">
        <f t="shared" ref="R52:R55" si="25">P52-Q52</f>
        <v>-38</v>
      </c>
      <c r="S52" s="2">
        <f t="shared" ref="S52:S55" si="26">ABS(R52)</f>
        <v>38</v>
      </c>
      <c r="T52" s="2">
        <v>4</v>
      </c>
    </row>
    <row r="53" spans="1:20" x14ac:dyDescent="0.25">
      <c r="A53" s="1" t="s">
        <v>40</v>
      </c>
      <c r="B53" s="1">
        <v>6.25</v>
      </c>
      <c r="C53" s="1">
        <v>16.2</v>
      </c>
      <c r="D53" s="1">
        <f t="shared" si="21"/>
        <v>-9.9499999999999993</v>
      </c>
      <c r="E53" s="1">
        <f t="shared" si="22"/>
        <v>9.9499999999999993</v>
      </c>
      <c r="F53" s="2">
        <v>4</v>
      </c>
      <c r="H53" s="1" t="s">
        <v>40</v>
      </c>
      <c r="I53" s="1">
        <v>6.25</v>
      </c>
      <c r="J53" s="2">
        <v>20</v>
      </c>
      <c r="K53" s="1">
        <f t="shared" si="23"/>
        <v>-13.75</v>
      </c>
      <c r="L53" s="2">
        <f t="shared" si="24"/>
        <v>13.75</v>
      </c>
      <c r="M53" s="2">
        <v>3</v>
      </c>
      <c r="O53" s="1" t="s">
        <v>40</v>
      </c>
      <c r="P53" s="1">
        <v>6.25</v>
      </c>
      <c r="Q53" s="2">
        <v>36</v>
      </c>
      <c r="R53" s="1">
        <f t="shared" si="25"/>
        <v>-29.75</v>
      </c>
      <c r="S53" s="2">
        <f t="shared" si="26"/>
        <v>29.75</v>
      </c>
      <c r="T53" s="2">
        <v>1</v>
      </c>
    </row>
    <row r="54" spans="1:20" x14ac:dyDescent="0.25">
      <c r="A54" s="1" t="s">
        <v>41</v>
      </c>
      <c r="B54" s="1">
        <v>4.6500000000000004</v>
      </c>
      <c r="C54" s="1">
        <v>5.7</v>
      </c>
      <c r="D54" s="1">
        <f t="shared" si="21"/>
        <v>-1.0499999999999998</v>
      </c>
      <c r="E54" s="1">
        <f t="shared" si="22"/>
        <v>1.0499999999999998</v>
      </c>
      <c r="F54" s="2">
        <v>1</v>
      </c>
      <c r="H54" s="1" t="s">
        <v>41</v>
      </c>
      <c r="I54" s="1">
        <v>4.6500000000000004</v>
      </c>
      <c r="J54" s="2">
        <v>10.5</v>
      </c>
      <c r="K54" s="1">
        <f t="shared" si="23"/>
        <v>-5.85</v>
      </c>
      <c r="L54" s="2">
        <f t="shared" si="24"/>
        <v>5.85</v>
      </c>
      <c r="M54" s="2">
        <v>1</v>
      </c>
      <c r="O54" s="1" t="s">
        <v>41</v>
      </c>
      <c r="P54" s="1">
        <v>4.6500000000000004</v>
      </c>
      <c r="Q54" s="2">
        <v>40</v>
      </c>
      <c r="R54" s="1">
        <f t="shared" si="25"/>
        <v>-35.35</v>
      </c>
      <c r="S54" s="2">
        <f t="shared" si="26"/>
        <v>35.35</v>
      </c>
      <c r="T54" s="2">
        <v>3</v>
      </c>
    </row>
    <row r="55" spans="1:20" x14ac:dyDescent="0.25">
      <c r="A55" s="1" t="s">
        <v>42</v>
      </c>
      <c r="B55" s="1">
        <v>8.3000000000000007</v>
      </c>
      <c r="C55" s="1">
        <v>15.8</v>
      </c>
      <c r="D55" s="1">
        <f t="shared" si="21"/>
        <v>-7.5</v>
      </c>
      <c r="E55" s="1">
        <f t="shared" si="22"/>
        <v>7.5</v>
      </c>
      <c r="F55" s="2">
        <v>2</v>
      </c>
      <c r="H55" s="1" t="s">
        <v>42</v>
      </c>
      <c r="I55" s="1">
        <v>8.3000000000000007</v>
      </c>
      <c r="J55" s="2">
        <v>17.100000000000001</v>
      </c>
      <c r="K55" s="1">
        <f t="shared" si="23"/>
        <v>-8.8000000000000007</v>
      </c>
      <c r="L55" s="2">
        <f t="shared" si="24"/>
        <v>8.8000000000000007</v>
      </c>
      <c r="M55" s="2">
        <v>2</v>
      </c>
      <c r="O55" s="1" t="s">
        <v>42</v>
      </c>
      <c r="P55" s="1">
        <v>8.3000000000000007</v>
      </c>
      <c r="Q55" s="2">
        <v>40</v>
      </c>
      <c r="R55" s="1">
        <f t="shared" si="25"/>
        <v>-31.7</v>
      </c>
      <c r="S55" s="2">
        <f t="shared" si="26"/>
        <v>31.7</v>
      </c>
      <c r="T55" s="2">
        <v>2</v>
      </c>
    </row>
    <row r="56" spans="1:20" x14ac:dyDescent="0.25">
      <c r="A56" s="1" t="s">
        <v>43</v>
      </c>
      <c r="C56" s="1"/>
      <c r="D56" s="1"/>
      <c r="E56" s="1"/>
      <c r="F56" s="2">
        <v>0</v>
      </c>
      <c r="H56" s="1" t="s">
        <v>43</v>
      </c>
      <c r="M56" s="2">
        <v>0</v>
      </c>
      <c r="O56" s="1" t="s">
        <v>43</v>
      </c>
      <c r="T56" s="2">
        <v>0</v>
      </c>
    </row>
    <row r="57" spans="1:20" x14ac:dyDescent="0.25">
      <c r="A57" s="1" t="s">
        <v>44</v>
      </c>
      <c r="B57" s="1"/>
      <c r="C57" s="1"/>
      <c r="D57" s="1"/>
      <c r="E57" s="1"/>
      <c r="F57" s="2">
        <v>15</v>
      </c>
      <c r="H57" s="1" t="s">
        <v>44</v>
      </c>
      <c r="M57" s="2">
        <v>15</v>
      </c>
      <c r="O57" s="1" t="s">
        <v>44</v>
      </c>
      <c r="T57" s="2">
        <v>15</v>
      </c>
    </row>
    <row r="58" spans="1:20" x14ac:dyDescent="0.25">
      <c r="A58" s="1" t="s">
        <v>46</v>
      </c>
      <c r="B58" s="1"/>
      <c r="C58" s="1"/>
      <c r="D58" s="1"/>
      <c r="E58" s="1"/>
      <c r="F58" s="2">
        <v>0</v>
      </c>
      <c r="H58" s="1" t="s">
        <v>46</v>
      </c>
      <c r="M58" s="2">
        <v>0</v>
      </c>
      <c r="O58" s="1" t="s">
        <v>46</v>
      </c>
      <c r="T58" s="2">
        <v>0</v>
      </c>
    </row>
    <row r="59" spans="1:20" x14ac:dyDescent="0.25">
      <c r="A59" s="1" t="s">
        <v>45</v>
      </c>
      <c r="B59" s="1"/>
      <c r="C59" s="1"/>
      <c r="D59" s="1"/>
      <c r="E59" s="1"/>
      <c r="F59" s="2" t="s">
        <v>26</v>
      </c>
      <c r="H59" s="1" t="s">
        <v>45</v>
      </c>
      <c r="M59" s="2" t="s">
        <v>26</v>
      </c>
      <c r="O59" s="1" t="s">
        <v>45</v>
      </c>
      <c r="T59" s="2" t="s">
        <v>26</v>
      </c>
    </row>
    <row r="60" spans="1:20" x14ac:dyDescent="0.25">
      <c r="A60" s="1"/>
      <c r="B60" s="1"/>
      <c r="C60" s="1"/>
      <c r="D60" s="1"/>
      <c r="E60" s="1"/>
    </row>
    <row r="61" spans="1:20" x14ac:dyDescent="0.25">
      <c r="A61" s="1"/>
      <c r="B61" s="3" t="s">
        <v>17</v>
      </c>
      <c r="C61" s="3"/>
      <c r="D61" s="3"/>
      <c r="E61" s="3"/>
      <c r="F61" s="3"/>
      <c r="H61" s="1"/>
      <c r="I61" s="3" t="s">
        <v>17</v>
      </c>
      <c r="J61" s="3"/>
      <c r="K61" s="3"/>
      <c r="L61" s="3"/>
      <c r="M61" s="3"/>
      <c r="O61" s="1"/>
      <c r="P61" s="3" t="s">
        <v>17</v>
      </c>
      <c r="Q61" s="3"/>
      <c r="R61" s="3"/>
      <c r="S61" s="3"/>
      <c r="T61" s="3"/>
    </row>
    <row r="62" spans="1:20" x14ac:dyDescent="0.25">
      <c r="A62" s="1"/>
      <c r="B62" s="1" t="s">
        <v>1</v>
      </c>
      <c r="C62" s="1" t="s">
        <v>2</v>
      </c>
      <c r="D62" s="1" t="s">
        <v>35</v>
      </c>
      <c r="E62" s="1" t="s">
        <v>37</v>
      </c>
      <c r="F62" s="1" t="s">
        <v>36</v>
      </c>
      <c r="H62" s="1"/>
      <c r="I62" s="1" t="s">
        <v>1</v>
      </c>
      <c r="J62" s="1" t="s">
        <v>3</v>
      </c>
      <c r="K62" s="1" t="s">
        <v>35</v>
      </c>
      <c r="L62" s="1" t="s">
        <v>37</v>
      </c>
      <c r="M62" s="1" t="s">
        <v>36</v>
      </c>
      <c r="O62" s="1"/>
      <c r="P62" s="1" t="s">
        <v>1</v>
      </c>
      <c r="Q62" s="1" t="s">
        <v>4</v>
      </c>
      <c r="R62" s="1" t="s">
        <v>35</v>
      </c>
      <c r="S62" s="1" t="s">
        <v>37</v>
      </c>
      <c r="T62" s="1" t="s">
        <v>36</v>
      </c>
    </row>
    <row r="63" spans="1:20" x14ac:dyDescent="0.25">
      <c r="A63" s="1" t="s">
        <v>38</v>
      </c>
      <c r="B63" s="1">
        <v>0</v>
      </c>
      <c r="C63" s="1">
        <v>0.3</v>
      </c>
      <c r="D63" s="1">
        <f>B63-C63</f>
        <v>-0.3</v>
      </c>
      <c r="E63" s="1">
        <f>ABS(D63)</f>
        <v>0.3</v>
      </c>
      <c r="F63" s="2">
        <v>2</v>
      </c>
      <c r="H63" s="1" t="s">
        <v>38</v>
      </c>
      <c r="I63" s="1">
        <v>0</v>
      </c>
      <c r="J63" s="2">
        <v>1.3</v>
      </c>
      <c r="K63" s="1">
        <f>I63-J63</f>
        <v>-1.3</v>
      </c>
      <c r="L63" s="2">
        <f>ABS(K63)</f>
        <v>1.3</v>
      </c>
      <c r="M63" s="2">
        <v>2</v>
      </c>
      <c r="O63" s="1" t="s">
        <v>38</v>
      </c>
      <c r="P63" s="1">
        <v>0</v>
      </c>
      <c r="Q63" s="2">
        <v>18.600000000000001</v>
      </c>
      <c r="R63" s="1">
        <f>P63-Q63</f>
        <v>-18.600000000000001</v>
      </c>
      <c r="S63" s="2">
        <f>ABS(R63)</f>
        <v>18.600000000000001</v>
      </c>
      <c r="T63" s="2">
        <v>1</v>
      </c>
    </row>
    <row r="64" spans="1:20" x14ac:dyDescent="0.25">
      <c r="A64" s="1" t="s">
        <v>39</v>
      </c>
      <c r="B64" s="1">
        <v>0</v>
      </c>
      <c r="C64" s="1">
        <v>0.3</v>
      </c>
      <c r="D64" s="1">
        <f t="shared" ref="D64:D67" si="27">B64-C64</f>
        <v>-0.3</v>
      </c>
      <c r="E64" s="1">
        <f t="shared" ref="E64:E67" si="28">ABS(D64)</f>
        <v>0.3</v>
      </c>
      <c r="F64" s="2">
        <v>2</v>
      </c>
      <c r="H64" s="1" t="s">
        <v>39</v>
      </c>
      <c r="I64" s="1">
        <v>0</v>
      </c>
      <c r="J64" s="2">
        <v>1.7</v>
      </c>
      <c r="K64" s="1">
        <f t="shared" ref="K64:K67" si="29">I64-J64</f>
        <v>-1.7</v>
      </c>
      <c r="L64" s="2">
        <f t="shared" ref="L64:L67" si="30">ABS(K64)</f>
        <v>1.7</v>
      </c>
      <c r="M64" s="2">
        <v>4</v>
      </c>
      <c r="O64" s="1" t="s">
        <v>39</v>
      </c>
      <c r="P64" s="1">
        <v>0</v>
      </c>
      <c r="Q64" s="2">
        <v>21.3</v>
      </c>
      <c r="R64" s="1">
        <f t="shared" ref="R64:R66" si="31">P64-Q64</f>
        <v>-21.3</v>
      </c>
      <c r="S64" s="2">
        <f t="shared" ref="S64:S67" si="32">ABS(R64)</f>
        <v>21.3</v>
      </c>
      <c r="T64" s="2">
        <v>5</v>
      </c>
    </row>
    <row r="65" spans="1:20" x14ac:dyDescent="0.25">
      <c r="A65" s="1" t="s">
        <v>40</v>
      </c>
      <c r="B65" s="1">
        <v>0.6</v>
      </c>
      <c r="C65" s="1">
        <v>1.6</v>
      </c>
      <c r="D65" s="1">
        <f t="shared" si="27"/>
        <v>-1</v>
      </c>
      <c r="E65" s="1">
        <f t="shared" si="28"/>
        <v>1</v>
      </c>
      <c r="F65" s="2">
        <v>3</v>
      </c>
      <c r="H65" s="1" t="s">
        <v>40</v>
      </c>
      <c r="I65" s="1">
        <v>0.6</v>
      </c>
      <c r="J65" s="2">
        <v>3.4</v>
      </c>
      <c r="K65" s="1">
        <f t="shared" si="29"/>
        <v>-2.8</v>
      </c>
      <c r="L65" s="2">
        <f t="shared" si="30"/>
        <v>2.8</v>
      </c>
      <c r="M65" s="2">
        <v>5</v>
      </c>
      <c r="O65" s="1" t="s">
        <v>40</v>
      </c>
      <c r="P65" s="1">
        <v>0.6</v>
      </c>
      <c r="Q65" s="2">
        <v>20.399999999999999</v>
      </c>
      <c r="R65" s="1">
        <f t="shared" si="31"/>
        <v>-19.799999999999997</v>
      </c>
      <c r="S65" s="2">
        <f t="shared" si="32"/>
        <v>19.799999999999997</v>
      </c>
      <c r="T65" s="2">
        <v>2</v>
      </c>
    </row>
    <row r="66" spans="1:20" x14ac:dyDescent="0.25">
      <c r="A66" s="1" t="s">
        <v>41</v>
      </c>
      <c r="B66" s="1">
        <v>0.2</v>
      </c>
      <c r="C66" s="1">
        <v>0.1</v>
      </c>
      <c r="D66" s="1">
        <f t="shared" si="27"/>
        <v>0.1</v>
      </c>
      <c r="E66" s="1">
        <f t="shared" si="28"/>
        <v>0.1</v>
      </c>
      <c r="F66" s="2">
        <v>1</v>
      </c>
      <c r="H66" s="1" t="s">
        <v>41</v>
      </c>
      <c r="I66" s="1">
        <v>0.2</v>
      </c>
      <c r="J66" s="2">
        <v>1.8</v>
      </c>
      <c r="K66" s="1">
        <f t="shared" si="29"/>
        <v>-1.6</v>
      </c>
      <c r="L66" s="2">
        <f t="shared" si="30"/>
        <v>1.6</v>
      </c>
      <c r="M66" s="2">
        <v>3</v>
      </c>
      <c r="O66" s="1" t="s">
        <v>41</v>
      </c>
      <c r="P66" s="1">
        <v>0.2</v>
      </c>
      <c r="Q66" s="2">
        <v>21</v>
      </c>
      <c r="R66" s="1">
        <f t="shared" si="31"/>
        <v>-20.8</v>
      </c>
      <c r="S66" s="2">
        <f t="shared" si="32"/>
        <v>20.8</v>
      </c>
      <c r="T66" s="2">
        <v>4</v>
      </c>
    </row>
    <row r="67" spans="1:20" x14ac:dyDescent="0.25">
      <c r="A67" s="1" t="s">
        <v>42</v>
      </c>
      <c r="B67" s="1">
        <v>2.4</v>
      </c>
      <c r="C67" s="1">
        <v>0.5</v>
      </c>
      <c r="D67" s="1">
        <f t="shared" si="27"/>
        <v>1.9</v>
      </c>
      <c r="E67" s="1">
        <f t="shared" si="28"/>
        <v>1.9</v>
      </c>
      <c r="F67" s="2">
        <v>4</v>
      </c>
      <c r="H67" s="1" t="s">
        <v>42</v>
      </c>
      <c r="I67" s="1">
        <v>2.4</v>
      </c>
      <c r="J67" s="2">
        <v>2.7</v>
      </c>
      <c r="K67" s="1">
        <f t="shared" si="29"/>
        <v>-0.30000000000000027</v>
      </c>
      <c r="L67" s="2">
        <f t="shared" si="30"/>
        <v>0.30000000000000027</v>
      </c>
      <c r="M67" s="2">
        <v>1</v>
      </c>
      <c r="O67" s="1" t="s">
        <v>42</v>
      </c>
      <c r="P67" s="1">
        <v>2.4</v>
      </c>
      <c r="Q67" s="2">
        <v>22.4</v>
      </c>
      <c r="R67" s="1">
        <f>P67-Q67</f>
        <v>-20</v>
      </c>
      <c r="S67" s="2">
        <f t="shared" si="32"/>
        <v>20</v>
      </c>
      <c r="T67" s="2">
        <v>3</v>
      </c>
    </row>
    <row r="68" spans="1:20" x14ac:dyDescent="0.25">
      <c r="A68" s="1" t="s">
        <v>43</v>
      </c>
      <c r="B68" s="1"/>
      <c r="C68" s="1"/>
      <c r="D68" s="1"/>
      <c r="E68" s="1"/>
      <c r="F68" s="2">
        <v>5</v>
      </c>
      <c r="H68" s="1" t="s">
        <v>43</v>
      </c>
      <c r="M68" s="2">
        <v>0</v>
      </c>
      <c r="O68" s="1" t="s">
        <v>43</v>
      </c>
      <c r="T68" s="2">
        <v>0</v>
      </c>
    </row>
    <row r="69" spans="1:20" x14ac:dyDescent="0.25">
      <c r="A69" s="1" t="s">
        <v>44</v>
      </c>
      <c r="B69" s="1"/>
      <c r="C69" s="1"/>
      <c r="D69" s="1"/>
      <c r="E69" s="1"/>
      <c r="F69" s="2">
        <v>7</v>
      </c>
      <c r="H69" s="1" t="s">
        <v>44</v>
      </c>
      <c r="M69" s="2">
        <v>15</v>
      </c>
      <c r="O69" s="1" t="s">
        <v>44</v>
      </c>
      <c r="T69" s="2">
        <v>15</v>
      </c>
    </row>
    <row r="70" spans="1:20" x14ac:dyDescent="0.25">
      <c r="A70" s="1" t="s">
        <v>46</v>
      </c>
      <c r="B70" s="1"/>
      <c r="C70" s="1"/>
      <c r="D70" s="1"/>
      <c r="E70" s="1"/>
      <c r="F70" s="2">
        <v>5</v>
      </c>
      <c r="H70" s="1" t="s">
        <v>46</v>
      </c>
      <c r="M70" s="2">
        <v>0</v>
      </c>
      <c r="O70" s="1" t="s">
        <v>46</v>
      </c>
      <c r="T70" s="2">
        <v>0</v>
      </c>
    </row>
    <row r="71" spans="1:20" x14ac:dyDescent="0.25">
      <c r="A71" s="1" t="s">
        <v>45</v>
      </c>
      <c r="B71" s="1"/>
      <c r="C71" s="1"/>
      <c r="D71" s="1"/>
      <c r="E71" s="1"/>
      <c r="F71" s="2" t="s">
        <v>27</v>
      </c>
      <c r="H71" s="1" t="s">
        <v>45</v>
      </c>
      <c r="M71" s="2" t="s">
        <v>26</v>
      </c>
      <c r="O71" s="1" t="s">
        <v>45</v>
      </c>
      <c r="T71" s="2" t="s">
        <v>26</v>
      </c>
    </row>
    <row r="72" spans="1:20" x14ac:dyDescent="0.25">
      <c r="A72" s="1"/>
      <c r="B72" s="1"/>
      <c r="C72" s="1"/>
      <c r="D72" s="1"/>
      <c r="E72" s="1"/>
    </row>
    <row r="73" spans="1:20" x14ac:dyDescent="0.25">
      <c r="A73" s="1"/>
      <c r="B73" s="3" t="s">
        <v>18</v>
      </c>
      <c r="C73" s="3"/>
      <c r="D73" s="3"/>
      <c r="E73" s="3"/>
      <c r="F73" s="3"/>
      <c r="H73" s="1"/>
      <c r="I73" s="3" t="s">
        <v>18</v>
      </c>
      <c r="J73" s="3"/>
      <c r="K73" s="3"/>
      <c r="L73" s="3"/>
      <c r="M73" s="3"/>
      <c r="O73" s="1"/>
      <c r="P73" s="3" t="s">
        <v>18</v>
      </c>
      <c r="Q73" s="3"/>
      <c r="R73" s="3"/>
      <c r="S73" s="3"/>
      <c r="T73" s="3"/>
    </row>
    <row r="74" spans="1:20" x14ac:dyDescent="0.25">
      <c r="A74" s="1"/>
      <c r="B74" s="1" t="s">
        <v>1</v>
      </c>
      <c r="C74" s="1" t="s">
        <v>2</v>
      </c>
      <c r="D74" s="1" t="s">
        <v>35</v>
      </c>
      <c r="E74" s="1" t="s">
        <v>37</v>
      </c>
      <c r="F74" s="1" t="s">
        <v>36</v>
      </c>
      <c r="H74" s="1"/>
      <c r="I74" s="1" t="s">
        <v>1</v>
      </c>
      <c r="J74" s="1" t="s">
        <v>3</v>
      </c>
      <c r="K74" s="1" t="s">
        <v>35</v>
      </c>
      <c r="L74" s="1" t="s">
        <v>37</v>
      </c>
      <c r="M74" s="1" t="s">
        <v>36</v>
      </c>
      <c r="O74" s="1"/>
      <c r="P74" s="1" t="s">
        <v>1</v>
      </c>
      <c r="Q74" s="1" t="s">
        <v>4</v>
      </c>
      <c r="R74" s="1" t="s">
        <v>35</v>
      </c>
      <c r="S74" s="1" t="s">
        <v>37</v>
      </c>
      <c r="T74" s="1" t="s">
        <v>36</v>
      </c>
    </row>
    <row r="75" spans="1:20" x14ac:dyDescent="0.25">
      <c r="A75" s="1" t="s">
        <v>38</v>
      </c>
      <c r="B75" s="1">
        <v>244.4</v>
      </c>
      <c r="C75" s="1">
        <v>328.8</v>
      </c>
      <c r="D75" s="2">
        <f>B75-C75</f>
        <v>-84.4</v>
      </c>
      <c r="E75" s="1">
        <f>ABS(D75)</f>
        <v>84.4</v>
      </c>
      <c r="F75" s="2">
        <v>2</v>
      </c>
      <c r="H75" s="1" t="s">
        <v>38</v>
      </c>
      <c r="I75" s="1">
        <v>244.4</v>
      </c>
      <c r="J75" s="2">
        <v>394.9</v>
      </c>
      <c r="K75" s="1">
        <f>I75-J75</f>
        <v>-150.49999999999997</v>
      </c>
      <c r="L75" s="2">
        <f>ABS(K75)</f>
        <v>150.49999999999997</v>
      </c>
      <c r="M75" s="2">
        <v>3</v>
      </c>
      <c r="O75" s="1" t="s">
        <v>38</v>
      </c>
      <c r="P75" s="1">
        <v>244.4</v>
      </c>
      <c r="Q75" s="2">
        <v>326.89999999999998</v>
      </c>
      <c r="R75" s="1">
        <f>P75-Q75</f>
        <v>-82.499999999999972</v>
      </c>
      <c r="S75" s="2">
        <f>ABS(R75)</f>
        <v>82.499999999999972</v>
      </c>
      <c r="T75" s="2">
        <v>2</v>
      </c>
    </row>
    <row r="76" spans="1:20" x14ac:dyDescent="0.25">
      <c r="A76" s="1" t="s">
        <v>39</v>
      </c>
      <c r="B76" s="1">
        <v>242.7</v>
      </c>
      <c r="C76" s="1">
        <v>384.6</v>
      </c>
      <c r="D76" s="2">
        <f t="shared" ref="D76:D79" si="33">B76-C76</f>
        <v>-141.90000000000003</v>
      </c>
      <c r="E76" s="1">
        <f t="shared" ref="E76:E79" si="34">ABS(D76)</f>
        <v>141.90000000000003</v>
      </c>
      <c r="F76" s="2">
        <v>4</v>
      </c>
      <c r="H76" s="1" t="s">
        <v>39</v>
      </c>
      <c r="I76" s="1">
        <v>242.7</v>
      </c>
      <c r="J76" s="2">
        <v>328.8</v>
      </c>
      <c r="K76" s="1">
        <f t="shared" ref="K76:K79" si="35">I76-J76</f>
        <v>-86.100000000000023</v>
      </c>
      <c r="L76" s="2">
        <f t="shared" ref="L76:L79" si="36">ABS(K76)</f>
        <v>86.100000000000023</v>
      </c>
      <c r="M76" s="2">
        <v>1</v>
      </c>
      <c r="O76" s="1" t="s">
        <v>39</v>
      </c>
      <c r="P76" s="1">
        <v>242.7</v>
      </c>
      <c r="Q76" s="2">
        <v>366.8</v>
      </c>
      <c r="R76" s="1">
        <f t="shared" ref="R76:R79" si="37">P76-Q76</f>
        <v>-124.10000000000002</v>
      </c>
      <c r="S76" s="2">
        <f t="shared" ref="S76:S79" si="38">ABS(R76)</f>
        <v>124.10000000000002</v>
      </c>
      <c r="T76" s="2">
        <v>4</v>
      </c>
    </row>
    <row r="77" spans="1:20" x14ac:dyDescent="0.25">
      <c r="A77" s="1" t="s">
        <v>40</v>
      </c>
      <c r="B77" s="1">
        <v>254.6</v>
      </c>
      <c r="C77" s="1">
        <v>388.5</v>
      </c>
      <c r="D77" s="2">
        <f t="shared" si="33"/>
        <v>-133.9</v>
      </c>
      <c r="E77" s="1">
        <f t="shared" si="34"/>
        <v>133.9</v>
      </c>
      <c r="F77" s="2">
        <v>3</v>
      </c>
      <c r="H77" s="1" t="s">
        <v>40</v>
      </c>
      <c r="I77" s="1">
        <v>254.6</v>
      </c>
      <c r="J77" s="2">
        <v>354.8</v>
      </c>
      <c r="K77" s="1">
        <f t="shared" si="35"/>
        <v>-100.20000000000002</v>
      </c>
      <c r="L77" s="2">
        <f t="shared" si="36"/>
        <v>100.20000000000002</v>
      </c>
      <c r="M77" s="2">
        <v>2</v>
      </c>
      <c r="O77" s="1" t="s">
        <v>40</v>
      </c>
      <c r="P77" s="1">
        <v>254.6</v>
      </c>
      <c r="Q77" s="2">
        <v>340.6</v>
      </c>
      <c r="R77" s="1">
        <f t="shared" si="37"/>
        <v>-86.000000000000028</v>
      </c>
      <c r="S77" s="2">
        <f t="shared" si="38"/>
        <v>86.000000000000028</v>
      </c>
      <c r="T77" s="2">
        <v>3</v>
      </c>
    </row>
    <row r="78" spans="1:20" x14ac:dyDescent="0.25">
      <c r="A78" s="1" t="s">
        <v>41</v>
      </c>
      <c r="B78" s="1">
        <v>259.5</v>
      </c>
      <c r="C78" s="2">
        <v>474.7</v>
      </c>
      <c r="D78" s="2">
        <f t="shared" si="33"/>
        <v>-215.2</v>
      </c>
      <c r="E78" s="1">
        <f t="shared" si="34"/>
        <v>215.2</v>
      </c>
      <c r="F78" s="2">
        <v>5</v>
      </c>
      <c r="H78" s="1" t="s">
        <v>41</v>
      </c>
      <c r="I78" s="1">
        <v>259.5</v>
      </c>
      <c r="J78" s="2">
        <v>411.2</v>
      </c>
      <c r="K78" s="1">
        <f t="shared" si="35"/>
        <v>-151.69999999999999</v>
      </c>
      <c r="L78" s="2">
        <f t="shared" si="36"/>
        <v>151.69999999999999</v>
      </c>
      <c r="M78" s="2">
        <v>5</v>
      </c>
      <c r="O78" s="1" t="s">
        <v>41</v>
      </c>
      <c r="P78" s="1">
        <v>259.5</v>
      </c>
      <c r="Q78" s="2">
        <v>478.96100000000001</v>
      </c>
      <c r="R78" s="1">
        <f t="shared" si="37"/>
        <v>-219.46100000000001</v>
      </c>
      <c r="S78" s="2">
        <f t="shared" si="38"/>
        <v>219.46100000000001</v>
      </c>
      <c r="T78" s="2">
        <v>5</v>
      </c>
    </row>
    <row r="79" spans="1:20" x14ac:dyDescent="0.25">
      <c r="A79" s="1" t="s">
        <v>42</v>
      </c>
      <c r="B79" s="1">
        <v>260.3</v>
      </c>
      <c r="C79" s="1">
        <v>354.8</v>
      </c>
      <c r="D79" s="2">
        <f t="shared" si="33"/>
        <v>-94.5</v>
      </c>
      <c r="E79" s="1">
        <f t="shared" si="34"/>
        <v>94.5</v>
      </c>
      <c r="F79" s="2">
        <v>1</v>
      </c>
      <c r="H79" s="1" t="s">
        <v>42</v>
      </c>
      <c r="I79" s="1">
        <v>260.3</v>
      </c>
      <c r="J79" s="2">
        <v>411.16899999999998</v>
      </c>
      <c r="K79" s="1">
        <f t="shared" si="35"/>
        <v>-150.86899999999997</v>
      </c>
      <c r="L79" s="2">
        <f t="shared" si="36"/>
        <v>150.86899999999997</v>
      </c>
      <c r="M79" s="2">
        <v>4</v>
      </c>
      <c r="O79" s="1" t="s">
        <v>42</v>
      </c>
      <c r="P79" s="1">
        <v>260.3</v>
      </c>
      <c r="Q79" s="2">
        <v>332.7</v>
      </c>
      <c r="R79" s="1">
        <f t="shared" si="37"/>
        <v>-72.399999999999977</v>
      </c>
      <c r="S79" s="2">
        <f t="shared" si="38"/>
        <v>72.399999999999977</v>
      </c>
      <c r="T79" s="2">
        <v>1</v>
      </c>
    </row>
    <row r="80" spans="1:20" x14ac:dyDescent="0.25">
      <c r="A80" s="1" t="s">
        <v>43</v>
      </c>
      <c r="B80" s="1"/>
      <c r="C80" s="1"/>
      <c r="D80" s="1"/>
      <c r="E80" s="1"/>
      <c r="F80" s="2">
        <v>0</v>
      </c>
      <c r="H80" s="1" t="s">
        <v>43</v>
      </c>
      <c r="M80" s="2">
        <v>0</v>
      </c>
      <c r="O80" s="1" t="s">
        <v>43</v>
      </c>
      <c r="T80" s="2">
        <v>0</v>
      </c>
    </row>
    <row r="81" spans="1:20" x14ac:dyDescent="0.25">
      <c r="A81" s="1" t="s">
        <v>44</v>
      </c>
      <c r="B81" s="1"/>
      <c r="C81" s="1"/>
      <c r="D81" s="1"/>
      <c r="E81" s="1"/>
      <c r="F81" s="2">
        <v>15</v>
      </c>
      <c r="H81" s="1" t="s">
        <v>44</v>
      </c>
      <c r="M81" s="2">
        <v>15</v>
      </c>
      <c r="O81" s="1" t="s">
        <v>44</v>
      </c>
      <c r="T81" s="2">
        <v>15</v>
      </c>
    </row>
    <row r="82" spans="1:20" x14ac:dyDescent="0.25">
      <c r="A82" s="1" t="s">
        <v>46</v>
      </c>
      <c r="B82" s="1"/>
      <c r="C82" s="1"/>
      <c r="D82" s="1"/>
      <c r="E82" s="1"/>
      <c r="F82" s="2">
        <v>0</v>
      </c>
      <c r="H82" s="1" t="s">
        <v>46</v>
      </c>
      <c r="M82" s="2">
        <v>0</v>
      </c>
      <c r="O82" s="1" t="s">
        <v>46</v>
      </c>
      <c r="T82" s="2">
        <v>0</v>
      </c>
    </row>
    <row r="83" spans="1:20" x14ac:dyDescent="0.25">
      <c r="A83" s="1" t="s">
        <v>45</v>
      </c>
      <c r="B83" s="1"/>
      <c r="C83" s="1"/>
      <c r="D83" s="1"/>
      <c r="E83" s="1"/>
      <c r="F83" s="2" t="s">
        <v>26</v>
      </c>
      <c r="H83" s="1" t="s">
        <v>45</v>
      </c>
      <c r="M83" s="2" t="s">
        <v>26</v>
      </c>
      <c r="O83" s="1" t="s">
        <v>45</v>
      </c>
      <c r="T83" s="2" t="s">
        <v>26</v>
      </c>
    </row>
    <row r="84" spans="1:20" x14ac:dyDescent="0.25">
      <c r="A84" s="1"/>
      <c r="B84" s="1"/>
      <c r="C84" s="1"/>
      <c r="D84" s="1"/>
      <c r="E84" s="1"/>
    </row>
    <row r="85" spans="1:20" x14ac:dyDescent="0.25">
      <c r="A85" s="1"/>
      <c r="B85" s="3" t="s">
        <v>19</v>
      </c>
      <c r="C85" s="3"/>
      <c r="D85" s="3"/>
      <c r="E85" s="3"/>
      <c r="F85" s="3"/>
      <c r="H85" s="1"/>
      <c r="I85" s="3" t="s">
        <v>19</v>
      </c>
      <c r="J85" s="3"/>
      <c r="K85" s="3"/>
      <c r="L85" s="3"/>
      <c r="M85" s="3"/>
      <c r="O85" s="1"/>
      <c r="P85" s="3" t="s">
        <v>19</v>
      </c>
      <c r="Q85" s="3"/>
      <c r="R85" s="3"/>
      <c r="S85" s="3"/>
      <c r="T85" s="3"/>
    </row>
    <row r="86" spans="1:20" x14ac:dyDescent="0.25">
      <c r="A86" s="1"/>
      <c r="B86" s="1" t="s">
        <v>1</v>
      </c>
      <c r="C86" s="1" t="s">
        <v>2</v>
      </c>
      <c r="D86" s="1" t="s">
        <v>35</v>
      </c>
      <c r="E86" s="1" t="s">
        <v>37</v>
      </c>
      <c r="F86" s="1" t="s">
        <v>36</v>
      </c>
      <c r="H86" s="1"/>
      <c r="I86" s="1" t="s">
        <v>1</v>
      </c>
      <c r="J86" s="1" t="s">
        <v>3</v>
      </c>
      <c r="K86" s="1" t="s">
        <v>35</v>
      </c>
      <c r="L86" s="1" t="s">
        <v>37</v>
      </c>
      <c r="M86" s="1" t="s">
        <v>36</v>
      </c>
      <c r="O86" s="1"/>
      <c r="P86" s="1" t="s">
        <v>1</v>
      </c>
      <c r="Q86" s="1" t="s">
        <v>4</v>
      </c>
      <c r="R86" s="1" t="s">
        <v>35</v>
      </c>
      <c r="S86" s="1" t="s">
        <v>37</v>
      </c>
      <c r="T86" s="1" t="s">
        <v>36</v>
      </c>
    </row>
    <row r="87" spans="1:20" x14ac:dyDescent="0.25">
      <c r="A87" s="1" t="s">
        <v>38</v>
      </c>
      <c r="B87" s="1">
        <v>2450.6</v>
      </c>
      <c r="C87" s="1">
        <v>1149.5999999999999</v>
      </c>
      <c r="D87" s="1">
        <f>B87-C87</f>
        <v>1301</v>
      </c>
      <c r="E87" s="1">
        <f>ABS(D87)</f>
        <v>1301</v>
      </c>
      <c r="F87" s="2">
        <v>5</v>
      </c>
      <c r="H87" s="1" t="s">
        <v>38</v>
      </c>
      <c r="I87" s="1">
        <v>2450.6</v>
      </c>
      <c r="J87" s="2">
        <v>1371.3</v>
      </c>
      <c r="K87" s="1">
        <f>I87-J87</f>
        <v>1079.3</v>
      </c>
      <c r="L87" s="2">
        <f>ABS(K87)</f>
        <v>1079.3</v>
      </c>
      <c r="M87" s="2">
        <v>2</v>
      </c>
      <c r="O87" s="1" t="s">
        <v>38</v>
      </c>
      <c r="P87" s="1">
        <v>2450.6</v>
      </c>
      <c r="Q87" s="2">
        <v>1602</v>
      </c>
      <c r="R87" s="1">
        <f>P87-Q87</f>
        <v>848.59999999999991</v>
      </c>
      <c r="S87" s="2">
        <f>ABS(R87)</f>
        <v>848.59999999999991</v>
      </c>
      <c r="T87" s="2">
        <v>2</v>
      </c>
    </row>
    <row r="88" spans="1:20" x14ac:dyDescent="0.25">
      <c r="A88" s="1" t="s">
        <v>39</v>
      </c>
      <c r="B88" s="1">
        <v>2532.6999999999998</v>
      </c>
      <c r="C88" s="1">
        <v>1375.6</v>
      </c>
      <c r="D88" s="1">
        <f t="shared" ref="D88:D91" si="39">B88-C88</f>
        <v>1157.0999999999999</v>
      </c>
      <c r="E88" s="1">
        <f t="shared" ref="E88:E91" si="40">ABS(D88)</f>
        <v>1157.0999999999999</v>
      </c>
      <c r="F88" s="2">
        <v>4</v>
      </c>
      <c r="H88" s="1" t="s">
        <v>39</v>
      </c>
      <c r="I88" s="1">
        <v>2532.6999999999998</v>
      </c>
      <c r="J88" s="2">
        <v>1322.4</v>
      </c>
      <c r="K88" s="1">
        <f t="shared" ref="K88:K91" si="41">I88-J88</f>
        <v>1210.2999999999997</v>
      </c>
      <c r="L88" s="2">
        <f t="shared" ref="L88:L91" si="42">ABS(K88)</f>
        <v>1210.2999999999997</v>
      </c>
      <c r="M88" s="2">
        <v>4</v>
      </c>
      <c r="O88" s="1" t="s">
        <v>39</v>
      </c>
      <c r="P88" s="1">
        <v>2532.6999999999998</v>
      </c>
      <c r="Q88" s="2">
        <v>1525</v>
      </c>
      <c r="R88" s="1">
        <f t="shared" ref="R88:R91" si="43">P88-Q88</f>
        <v>1007.6999999999998</v>
      </c>
      <c r="S88" s="2">
        <f t="shared" ref="S88:S91" si="44">ABS(R88)</f>
        <v>1007.6999999999998</v>
      </c>
      <c r="T88" s="2">
        <v>3</v>
      </c>
    </row>
    <row r="89" spans="1:20" x14ac:dyDescent="0.25">
      <c r="A89" s="1" t="s">
        <v>40</v>
      </c>
      <c r="B89" s="2">
        <v>2583.1999999999998</v>
      </c>
      <c r="C89" s="1">
        <v>1548.6</v>
      </c>
      <c r="D89" s="1">
        <f t="shared" si="39"/>
        <v>1034.5999999999999</v>
      </c>
      <c r="E89" s="1">
        <f>ABS(D89)</f>
        <v>1034.5999999999999</v>
      </c>
      <c r="F89" s="2">
        <v>3</v>
      </c>
      <c r="H89" s="1" t="s">
        <v>40</v>
      </c>
      <c r="I89" s="2">
        <v>2583.1999999999998</v>
      </c>
      <c r="J89" s="2">
        <v>1319</v>
      </c>
      <c r="K89" s="1">
        <f t="shared" si="41"/>
        <v>1264.1999999999998</v>
      </c>
      <c r="L89" s="2">
        <f t="shared" si="42"/>
        <v>1264.1999999999998</v>
      </c>
      <c r="M89" s="2">
        <v>5</v>
      </c>
      <c r="O89" s="1" t="s">
        <v>40</v>
      </c>
      <c r="P89" s="2">
        <v>2583.1999999999998</v>
      </c>
      <c r="Q89" s="2">
        <v>1267</v>
      </c>
      <c r="R89" s="1">
        <f t="shared" si="43"/>
        <v>1316.1999999999998</v>
      </c>
      <c r="S89" s="2">
        <f t="shared" si="44"/>
        <v>1316.1999999999998</v>
      </c>
      <c r="T89" s="2">
        <v>5</v>
      </c>
    </row>
    <row r="90" spans="1:20" x14ac:dyDescent="0.25">
      <c r="A90" s="1" t="s">
        <v>41</v>
      </c>
      <c r="B90" s="1">
        <v>2343.6999999999998</v>
      </c>
      <c r="C90" s="1">
        <v>1389.1</v>
      </c>
      <c r="D90" s="1">
        <f t="shared" si="39"/>
        <v>954.59999999999991</v>
      </c>
      <c r="E90" s="1">
        <f t="shared" si="40"/>
        <v>954.59999999999991</v>
      </c>
      <c r="F90" s="2">
        <v>2</v>
      </c>
      <c r="H90" s="1" t="s">
        <v>41</v>
      </c>
      <c r="I90" s="1">
        <v>2343.6999999999998</v>
      </c>
      <c r="J90" s="2">
        <v>1198.5</v>
      </c>
      <c r="K90" s="1">
        <f t="shared" si="41"/>
        <v>1145.1999999999998</v>
      </c>
      <c r="L90" s="2">
        <f t="shared" si="42"/>
        <v>1145.1999999999998</v>
      </c>
      <c r="M90" s="2">
        <v>3</v>
      </c>
      <c r="O90" s="1" t="s">
        <v>41</v>
      </c>
      <c r="P90" s="1">
        <v>2343.6999999999998</v>
      </c>
      <c r="Q90" s="2">
        <v>1274</v>
      </c>
      <c r="R90" s="1">
        <f t="shared" si="43"/>
        <v>1069.6999999999998</v>
      </c>
      <c r="S90" s="2">
        <f t="shared" si="44"/>
        <v>1069.6999999999998</v>
      </c>
      <c r="T90" s="2">
        <v>4</v>
      </c>
    </row>
    <row r="91" spans="1:20" x14ac:dyDescent="0.25">
      <c r="A91" s="1" t="s">
        <v>42</v>
      </c>
      <c r="B91" s="1">
        <v>2274.1999999999998</v>
      </c>
      <c r="C91" s="1">
        <v>1465.2</v>
      </c>
      <c r="D91" s="1">
        <f t="shared" si="39"/>
        <v>808.99999999999977</v>
      </c>
      <c r="E91" s="1">
        <f t="shared" si="40"/>
        <v>808.99999999999977</v>
      </c>
      <c r="F91" s="2">
        <v>1</v>
      </c>
      <c r="H91" s="1" t="s">
        <v>42</v>
      </c>
      <c r="I91" s="1">
        <v>2274.1999999999998</v>
      </c>
      <c r="J91" s="2">
        <v>1300</v>
      </c>
      <c r="K91" s="1">
        <f t="shared" si="41"/>
        <v>974.19999999999982</v>
      </c>
      <c r="L91" s="2">
        <f t="shared" si="42"/>
        <v>974.19999999999982</v>
      </c>
      <c r="M91" s="2">
        <v>1</v>
      </c>
      <c r="O91" s="1" t="s">
        <v>42</v>
      </c>
      <c r="P91" s="1">
        <v>2274.1999999999998</v>
      </c>
      <c r="Q91" s="2">
        <v>1440</v>
      </c>
      <c r="R91" s="1">
        <f t="shared" si="43"/>
        <v>834.19999999999982</v>
      </c>
      <c r="S91" s="2">
        <f t="shared" si="44"/>
        <v>834.19999999999982</v>
      </c>
      <c r="T91" s="2">
        <v>1</v>
      </c>
    </row>
    <row r="92" spans="1:20" x14ac:dyDescent="0.25">
      <c r="A92" s="1" t="s">
        <v>43</v>
      </c>
      <c r="B92" s="1"/>
      <c r="C92" s="1"/>
      <c r="D92" s="1"/>
      <c r="E92" s="1"/>
      <c r="F92" s="2">
        <v>15</v>
      </c>
      <c r="H92" s="1" t="s">
        <v>43</v>
      </c>
      <c r="M92" s="2">
        <v>15</v>
      </c>
      <c r="O92" s="1" t="s">
        <v>43</v>
      </c>
      <c r="T92" s="2">
        <v>15</v>
      </c>
    </row>
    <row r="93" spans="1:20" x14ac:dyDescent="0.25">
      <c r="A93" s="1" t="s">
        <v>44</v>
      </c>
      <c r="B93" s="1"/>
      <c r="C93" s="1"/>
      <c r="D93" s="1"/>
      <c r="E93" s="1"/>
      <c r="F93" s="2">
        <v>0</v>
      </c>
      <c r="H93" s="1" t="s">
        <v>44</v>
      </c>
      <c r="M93" s="2">
        <v>0</v>
      </c>
      <c r="O93" s="1" t="s">
        <v>44</v>
      </c>
      <c r="T93" s="2">
        <v>0</v>
      </c>
    </row>
    <row r="94" spans="1:20" x14ac:dyDescent="0.25">
      <c r="A94" s="1" t="s">
        <v>46</v>
      </c>
      <c r="B94" s="1"/>
      <c r="C94" s="1"/>
      <c r="D94" s="1"/>
      <c r="E94" s="1"/>
      <c r="F94" s="2">
        <v>0</v>
      </c>
      <c r="H94" s="1" t="s">
        <v>46</v>
      </c>
      <c r="M94" s="2">
        <v>0</v>
      </c>
      <c r="O94" s="1" t="s">
        <v>46</v>
      </c>
      <c r="T94" s="2">
        <v>0</v>
      </c>
    </row>
    <row r="95" spans="1:20" x14ac:dyDescent="0.25">
      <c r="A95" s="1" t="s">
        <v>45</v>
      </c>
      <c r="F95" s="2" t="s">
        <v>26</v>
      </c>
      <c r="H95" s="1" t="s">
        <v>45</v>
      </c>
      <c r="M95" s="2" t="s">
        <v>26</v>
      </c>
      <c r="O95" s="1" t="s">
        <v>45</v>
      </c>
      <c r="T95" s="2" t="s">
        <v>26</v>
      </c>
    </row>
  </sheetData>
  <mergeCells count="24">
    <mergeCell ref="P37:T37"/>
    <mergeCell ref="P49:T49"/>
    <mergeCell ref="P61:T61"/>
    <mergeCell ref="P73:T73"/>
    <mergeCell ref="P85:T85"/>
    <mergeCell ref="B49:F49"/>
    <mergeCell ref="B61:F61"/>
    <mergeCell ref="B73:F73"/>
    <mergeCell ref="B85:F85"/>
    <mergeCell ref="I1:M1"/>
    <mergeCell ref="I13:M13"/>
    <mergeCell ref="I25:M25"/>
    <mergeCell ref="I37:M37"/>
    <mergeCell ref="I49:M49"/>
    <mergeCell ref="I61:M61"/>
    <mergeCell ref="I73:M73"/>
    <mergeCell ref="I85:M85"/>
    <mergeCell ref="B37:F37"/>
    <mergeCell ref="P1:T1"/>
    <mergeCell ref="P13:T13"/>
    <mergeCell ref="P25:T25"/>
    <mergeCell ref="B1:F1"/>
    <mergeCell ref="B13:F13"/>
    <mergeCell ref="B25:F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Friedman</vt:lpstr>
      <vt:lpstr>Wilcoxon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 Srivastava</cp:lastModifiedBy>
  <dcterms:created xsi:type="dcterms:W3CDTF">2015-06-05T18:17:20Z</dcterms:created>
  <dcterms:modified xsi:type="dcterms:W3CDTF">2026-07-08T07:40:37Z</dcterms:modified>
</cp:coreProperties>
</file>