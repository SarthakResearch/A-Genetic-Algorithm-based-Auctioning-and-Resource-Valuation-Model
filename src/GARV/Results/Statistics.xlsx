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My Drive\PhD\Contributions\4. Contribution 3 (GARV)\Revision (Continued)\H\Revision 2\Results\Github\"/>
    </mc:Choice>
  </mc:AlternateContent>
  <xr:revisionPtr revIDLastSave="0" documentId="13_ncr:1_{D7D535E6-E767-4D1C-8854-75144F615C0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Friedman Wilcox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4" i="1" l="1"/>
  <c r="P14" i="1"/>
  <c r="O14" i="1"/>
  <c r="R14" i="1"/>
  <c r="C119" i="1"/>
  <c r="C120" i="1" s="1"/>
  <c r="D119" i="1"/>
  <c r="D121" i="1" s="1"/>
  <c r="E119" i="1"/>
  <c r="B119" i="1"/>
  <c r="B120" i="1" s="1"/>
  <c r="C108" i="1"/>
  <c r="C109" i="1" s="1"/>
  <c r="D108" i="1"/>
  <c r="D109" i="1" s="1"/>
  <c r="E108" i="1"/>
  <c r="E109" i="1" s="1"/>
  <c r="B108" i="1"/>
  <c r="B109" i="1" s="1"/>
  <c r="C97" i="1"/>
  <c r="C98" i="1" s="1"/>
  <c r="D97" i="1"/>
  <c r="D98" i="1" s="1"/>
  <c r="E97" i="1"/>
  <c r="E98" i="1" s="1"/>
  <c r="B97" i="1"/>
  <c r="B99" i="1" s="1"/>
  <c r="C86" i="1"/>
  <c r="C87" i="1" s="1"/>
  <c r="D86" i="1"/>
  <c r="D87" i="1" s="1"/>
  <c r="E86" i="1"/>
  <c r="E87" i="1" s="1"/>
  <c r="B86" i="1"/>
  <c r="B87" i="1" s="1"/>
  <c r="C75" i="1"/>
  <c r="C77" i="1" s="1"/>
  <c r="D75" i="1"/>
  <c r="D77" i="1" s="1"/>
  <c r="E75" i="1"/>
  <c r="E76" i="1" s="1"/>
  <c r="B75" i="1"/>
  <c r="B77" i="1" s="1"/>
  <c r="C63" i="1"/>
  <c r="C65" i="1" s="1"/>
  <c r="D63" i="1"/>
  <c r="D65" i="1" s="1"/>
  <c r="E63" i="1"/>
  <c r="E65" i="1" s="1"/>
  <c r="B63" i="1"/>
  <c r="B65" i="1" s="1"/>
  <c r="C52" i="1"/>
  <c r="C54" i="1" s="1"/>
  <c r="D52" i="1"/>
  <c r="D54" i="1" s="1"/>
  <c r="E52" i="1"/>
  <c r="E54" i="1" s="1"/>
  <c r="B52" i="1"/>
  <c r="B54" i="1" s="1"/>
  <c r="C41" i="1"/>
  <c r="C43" i="1" s="1"/>
  <c r="D41" i="1"/>
  <c r="D42" i="1" s="1"/>
  <c r="E41" i="1"/>
  <c r="E42" i="1" s="1"/>
  <c r="B41" i="1"/>
  <c r="B43" i="1" s="1"/>
  <c r="C30" i="1"/>
  <c r="C31" i="1" s="1"/>
  <c r="D30" i="1"/>
  <c r="D31" i="1" s="1"/>
  <c r="E30" i="1"/>
  <c r="E31" i="1" s="1"/>
  <c r="B30" i="1"/>
  <c r="B32" i="1" s="1"/>
  <c r="C19" i="1"/>
  <c r="C21" i="1" s="1"/>
  <c r="D19" i="1"/>
  <c r="D21" i="1" s="1"/>
  <c r="E19" i="1"/>
  <c r="E21" i="1" s="1"/>
  <c r="B19" i="1"/>
  <c r="B21" i="1" s="1"/>
  <c r="C8" i="1"/>
  <c r="D8" i="1"/>
  <c r="D10" i="1" s="1"/>
  <c r="E8" i="1"/>
  <c r="E10" i="1" s="1"/>
  <c r="B8" i="1"/>
  <c r="B10" i="1" s="1"/>
  <c r="C10" i="1"/>
  <c r="B76" i="1"/>
  <c r="D76" i="1"/>
  <c r="D120" i="1"/>
  <c r="E120" i="1"/>
  <c r="B20" i="1"/>
  <c r="E121" i="1"/>
  <c r="B31" i="1" l="1"/>
  <c r="C76" i="1"/>
  <c r="C121" i="1"/>
  <c r="B121" i="1"/>
  <c r="E110" i="1"/>
  <c r="D110" i="1"/>
  <c r="C110" i="1"/>
  <c r="B110" i="1"/>
  <c r="E99" i="1"/>
  <c r="D99" i="1"/>
  <c r="C99" i="1"/>
  <c r="B98" i="1"/>
  <c r="B88" i="1"/>
  <c r="E88" i="1"/>
  <c r="D88" i="1"/>
  <c r="C88" i="1"/>
  <c r="E77" i="1"/>
  <c r="F77" i="1" s="1"/>
  <c r="G71" i="1" s="1"/>
  <c r="I71" i="1" s="1"/>
  <c r="F65" i="1"/>
  <c r="G59" i="1" s="1"/>
  <c r="I59" i="1" s="1"/>
  <c r="B53" i="1"/>
  <c r="E53" i="1"/>
  <c r="C42" i="1"/>
  <c r="E43" i="1"/>
  <c r="B42" i="1"/>
  <c r="E32" i="1"/>
  <c r="D32" i="1"/>
  <c r="C32" i="1"/>
  <c r="E20" i="1"/>
  <c r="D53" i="1"/>
  <c r="C53" i="1"/>
  <c r="F54" i="1"/>
  <c r="G48" i="1" s="1"/>
  <c r="I48" i="1" s="1"/>
  <c r="D43" i="1"/>
  <c r="D20" i="1"/>
  <c r="C20" i="1"/>
  <c r="C9" i="1"/>
  <c r="D9" i="1"/>
  <c r="E9" i="1"/>
  <c r="B9" i="1"/>
  <c r="F21" i="1"/>
  <c r="G16" i="1" s="1"/>
  <c r="I16" i="1" s="1"/>
  <c r="F10" i="1"/>
  <c r="G5" i="1" s="1"/>
  <c r="I5" i="1" s="1"/>
  <c r="F88" i="1" l="1"/>
  <c r="G83" i="1" s="1"/>
  <c r="I83" i="1" s="1"/>
  <c r="F99" i="1"/>
  <c r="G94" i="1" s="1"/>
  <c r="I94" i="1" s="1"/>
  <c r="F121" i="1"/>
  <c r="G116" i="1" s="1"/>
  <c r="I116" i="1" s="1"/>
  <c r="F110" i="1"/>
  <c r="G105" i="1" s="1"/>
  <c r="I105" i="1" s="1"/>
  <c r="F43" i="1"/>
  <c r="G38" i="1" s="1"/>
  <c r="I38" i="1" s="1"/>
  <c r="F32" i="1"/>
  <c r="G27" i="1" s="1"/>
  <c r="I27" i="1" s="1"/>
</calcChain>
</file>

<file path=xl/sharedStrings.xml><?xml version="1.0" encoding="utf-8"?>
<sst xmlns="http://schemas.openxmlformats.org/spreadsheetml/2006/main" count="250" uniqueCount="43">
  <si>
    <t>CSR</t>
  </si>
  <si>
    <t>GARV</t>
  </si>
  <si>
    <t>Algo1</t>
  </si>
  <si>
    <t>Algo2</t>
  </si>
  <si>
    <t>Algo3</t>
  </si>
  <si>
    <t>Auction Round 1</t>
  </si>
  <si>
    <t>Auction Round 2</t>
  </si>
  <si>
    <t>Auction Round 3</t>
  </si>
  <si>
    <t>Auction Round 4</t>
  </si>
  <si>
    <t>Auction Round 5</t>
  </si>
  <si>
    <t>PSR</t>
  </si>
  <si>
    <t>IEI</t>
  </si>
  <si>
    <t>IR</t>
  </si>
  <si>
    <t>AIV</t>
  </si>
  <si>
    <t>CVR</t>
  </si>
  <si>
    <t>ACC</t>
  </si>
  <si>
    <t>OPR</t>
  </si>
  <si>
    <t>AOP</t>
  </si>
  <si>
    <t>Makespan</t>
  </si>
  <si>
    <t>SW</t>
  </si>
  <si>
    <t>Friedman Chi-square statistic</t>
  </si>
  <si>
    <t>p-Value</t>
  </si>
  <si>
    <t>Rank Sum</t>
  </si>
  <si>
    <t>Rank Sum Squares</t>
  </si>
  <si>
    <t>Sum of Squares</t>
  </si>
  <si>
    <t>Significant</t>
  </si>
  <si>
    <t>Yes</t>
  </si>
  <si>
    <t>No</t>
  </si>
  <si>
    <t>Parameter</t>
  </si>
  <si>
    <t>Average Rank Sum</t>
  </si>
  <si>
    <t>.</t>
  </si>
  <si>
    <t>Rank Summary Table</t>
  </si>
  <si>
    <t>Friedman Test Results</t>
  </si>
  <si>
    <t xml:space="preserve">Chi-square </t>
  </si>
  <si>
    <t>Significant?</t>
  </si>
  <si>
    <t>Wilcoxon Test Results</t>
  </si>
  <si>
    <t>vs Algo1</t>
  </si>
  <si>
    <t>vs Algo2</t>
  </si>
  <si>
    <t>vs Algo3</t>
  </si>
  <si>
    <t>Yes*</t>
  </si>
  <si>
    <t>s</t>
  </si>
  <si>
    <t>Comparisons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</si>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</sst>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21"/>
  <sheetViews>
    <sheetView tabSelected="1" workbookViewId="0">
      <selection activeCell="U46" sqref="U46"/>
    </sheetView>
  </sheetViews>
  <sheetFormatPr defaultRowHeight="15" x14ac:dyDescent="0.25"/>
  <cols>
    <col min="1" max="1" width="17.28515625" style="1" bestFit="1" customWidth="1"/>
    <col min="2" max="5" width="9.140625" style="1"/>
    <col min="6" max="6" width="14.7109375" style="1" bestFit="1" customWidth="1"/>
    <col min="7" max="7" width="27.28515625" style="1" bestFit="1" customWidth="1"/>
    <col min="8" max="10" width="9.140625" style="1"/>
    <col min="11" max="11" width="10.85546875" style="1" customWidth="1"/>
    <col min="12" max="13" width="9.140625" style="1"/>
    <col min="14" max="14" width="15.85546875" style="1" bestFit="1" customWidth="1"/>
    <col min="15" max="15" width="12" style="1" bestFit="1" customWidth="1"/>
    <col min="16" max="16" width="9.140625" style="1"/>
    <col min="17" max="17" width="12" style="1" bestFit="1" customWidth="1"/>
    <col min="18" max="19" width="9.140625" style="1"/>
    <col min="20" max="20" width="10.28515625" style="1" bestFit="1" customWidth="1"/>
    <col min="21" max="21" width="8.28515625" style="1" bestFit="1" customWidth="1"/>
    <col min="22" max="25" width="9.140625" style="1"/>
    <col min="26" max="26" width="14.7109375" style="1" bestFit="1" customWidth="1"/>
    <col min="27" max="16384" width="9.140625" style="1"/>
  </cols>
  <sheetData>
    <row r="1" spans="1:25" x14ac:dyDescent="0.25">
      <c r="B1" s="2" t="s">
        <v>0</v>
      </c>
      <c r="C1" s="2"/>
      <c r="D1" s="2"/>
      <c r="E1" s="2"/>
      <c r="N1" s="2" t="s">
        <v>31</v>
      </c>
      <c r="O1" s="2"/>
      <c r="P1" s="2"/>
      <c r="Q1" s="2"/>
      <c r="R1" s="2"/>
    </row>
    <row r="2" spans="1:25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24</v>
      </c>
      <c r="G2" s="1" t="s">
        <v>20</v>
      </c>
      <c r="I2" s="1" t="s">
        <v>21</v>
      </c>
      <c r="K2" s="1" t="s">
        <v>25</v>
      </c>
      <c r="N2" s="1" t="s">
        <v>28</v>
      </c>
      <c r="O2" s="1" t="s">
        <v>1</v>
      </c>
      <c r="P2" s="1" t="s">
        <v>2</v>
      </c>
      <c r="Q2" s="1" t="s">
        <v>3</v>
      </c>
      <c r="R2" s="1" t="s">
        <v>4</v>
      </c>
      <c r="Y2" s="1" t="s">
        <v>30</v>
      </c>
    </row>
    <row r="3" spans="1:25" x14ac:dyDescent="0.25">
      <c r="A3" s="1" t="s">
        <v>5</v>
      </c>
      <c r="B3" s="1">
        <v>1</v>
      </c>
      <c r="C3" s="1">
        <v>3</v>
      </c>
      <c r="D3" s="1">
        <v>4</v>
      </c>
      <c r="E3" s="1">
        <v>2</v>
      </c>
      <c r="N3" s="1" t="s">
        <v>0</v>
      </c>
      <c r="O3" s="1">
        <v>1</v>
      </c>
      <c r="P3" s="1">
        <v>2.2000000000000002</v>
      </c>
      <c r="Q3" s="1">
        <v>3.8</v>
      </c>
      <c r="R3" s="1">
        <v>3</v>
      </c>
    </row>
    <row r="4" spans="1:25" x14ac:dyDescent="0.25">
      <c r="A4" s="1" t="s">
        <v>6</v>
      </c>
      <c r="B4" s="1">
        <v>1</v>
      </c>
      <c r="C4" s="1">
        <v>2</v>
      </c>
      <c r="D4" s="1">
        <v>3</v>
      </c>
      <c r="E4" s="1">
        <v>4</v>
      </c>
      <c r="N4" s="1" t="s">
        <v>10</v>
      </c>
      <c r="O4" s="1">
        <v>1</v>
      </c>
      <c r="P4" s="1">
        <v>2.1</v>
      </c>
      <c r="Q4" s="1">
        <v>3.3</v>
      </c>
      <c r="R4" s="1">
        <v>3.6</v>
      </c>
    </row>
    <row r="5" spans="1:25" x14ac:dyDescent="0.25">
      <c r="A5" s="1" t="s">
        <v>7</v>
      </c>
      <c r="B5" s="1">
        <v>1</v>
      </c>
      <c r="C5" s="1">
        <v>2</v>
      </c>
      <c r="D5" s="1">
        <v>4</v>
      </c>
      <c r="E5" s="1">
        <v>3</v>
      </c>
      <c r="G5" s="1">
        <f>(12/(5*4*(4+1)))*(F10)-(3*5*(4+1))</f>
        <v>12.840000000000003</v>
      </c>
      <c r="I5" s="1">
        <f>_xlfn.CHISQ.DIST.RT(G5,3)</f>
        <v>4.9957060439281848E-3</v>
      </c>
      <c r="K5" s="1" t="s">
        <v>26</v>
      </c>
      <c r="N5" s="1" t="s">
        <v>12</v>
      </c>
      <c r="O5" s="1">
        <v>1.4</v>
      </c>
      <c r="P5" s="1">
        <v>1.6</v>
      </c>
      <c r="Q5" s="1">
        <v>3.8</v>
      </c>
      <c r="R5" s="1">
        <v>3.2</v>
      </c>
    </row>
    <row r="6" spans="1:25" x14ac:dyDescent="0.25">
      <c r="A6" s="1" t="s">
        <v>8</v>
      </c>
      <c r="B6" s="1">
        <v>1</v>
      </c>
      <c r="C6" s="1">
        <v>2</v>
      </c>
      <c r="D6" s="1">
        <v>4</v>
      </c>
      <c r="E6" s="1">
        <v>3</v>
      </c>
      <c r="N6" s="1" t="s">
        <v>13</v>
      </c>
      <c r="O6" s="1">
        <v>1.4</v>
      </c>
      <c r="P6" s="1">
        <v>2</v>
      </c>
      <c r="Q6" s="1">
        <v>3.8</v>
      </c>
      <c r="R6" s="1">
        <v>2.8</v>
      </c>
    </row>
    <row r="7" spans="1:25" x14ac:dyDescent="0.25">
      <c r="A7" s="1" t="s">
        <v>9</v>
      </c>
      <c r="B7" s="1">
        <v>1</v>
      </c>
      <c r="C7" s="1">
        <v>2</v>
      </c>
      <c r="D7" s="1">
        <v>4</v>
      </c>
      <c r="E7" s="1">
        <v>3</v>
      </c>
      <c r="N7" s="1" t="s">
        <v>11</v>
      </c>
      <c r="O7" s="1">
        <v>1.6</v>
      </c>
      <c r="P7" s="1">
        <v>1.8</v>
      </c>
      <c r="Q7" s="1">
        <v>3.8</v>
      </c>
      <c r="R7" s="1">
        <v>2.8</v>
      </c>
    </row>
    <row r="8" spans="1:25" x14ac:dyDescent="0.25">
      <c r="A8" s="1" t="s">
        <v>22</v>
      </c>
      <c r="B8" s="1">
        <f>SUM(B3:B7)</f>
        <v>5</v>
      </c>
      <c r="C8" s="1">
        <f t="shared" ref="C8:E8" si="0">SUM(C3:C7)</f>
        <v>11</v>
      </c>
      <c r="D8" s="1">
        <f t="shared" si="0"/>
        <v>19</v>
      </c>
      <c r="E8" s="1">
        <f t="shared" si="0"/>
        <v>15</v>
      </c>
      <c r="N8" s="1" t="s">
        <v>14</v>
      </c>
      <c r="O8" s="1">
        <v>1</v>
      </c>
      <c r="P8" s="1">
        <v>4</v>
      </c>
      <c r="Q8" s="1">
        <v>3</v>
      </c>
      <c r="R8" s="1">
        <v>2</v>
      </c>
    </row>
    <row r="9" spans="1:25" x14ac:dyDescent="0.25">
      <c r="A9" s="1" t="s">
        <v>29</v>
      </c>
      <c r="B9" s="1">
        <f>B8/5</f>
        <v>1</v>
      </c>
      <c r="C9" s="1">
        <f t="shared" ref="C9:E9" si="1">C8/5</f>
        <v>2.2000000000000002</v>
      </c>
      <c r="D9" s="1">
        <f t="shared" si="1"/>
        <v>3.8</v>
      </c>
      <c r="E9" s="1">
        <f t="shared" si="1"/>
        <v>3</v>
      </c>
      <c r="N9" s="1" t="s">
        <v>15</v>
      </c>
      <c r="O9" s="1">
        <v>4</v>
      </c>
      <c r="P9" s="1">
        <v>1.2</v>
      </c>
      <c r="Q9" s="1">
        <v>3</v>
      </c>
      <c r="R9" s="1">
        <v>1.8</v>
      </c>
    </row>
    <row r="10" spans="1:25" x14ac:dyDescent="0.25">
      <c r="A10" s="1" t="s">
        <v>23</v>
      </c>
      <c r="B10" s="1">
        <f>B8*B8</f>
        <v>25</v>
      </c>
      <c r="C10" s="1">
        <f t="shared" ref="C10:E10" si="2">C8*C8</f>
        <v>121</v>
      </c>
      <c r="D10" s="1">
        <f t="shared" si="2"/>
        <v>361</v>
      </c>
      <c r="E10" s="1">
        <f t="shared" si="2"/>
        <v>225</v>
      </c>
      <c r="F10" s="1">
        <f>SUM(B10:E10)</f>
        <v>732</v>
      </c>
      <c r="N10" s="1" t="s">
        <v>16</v>
      </c>
      <c r="O10" s="1">
        <v>1.6</v>
      </c>
      <c r="P10" s="1">
        <v>1.6</v>
      </c>
      <c r="Q10" s="1">
        <v>2.8</v>
      </c>
      <c r="R10" s="1">
        <v>4</v>
      </c>
    </row>
    <row r="11" spans="1:25" x14ac:dyDescent="0.25">
      <c r="N11" s="1" t="s">
        <v>17</v>
      </c>
      <c r="O11" s="1">
        <v>1.8</v>
      </c>
      <c r="P11" s="1">
        <v>2</v>
      </c>
      <c r="Q11" s="1">
        <v>2.4</v>
      </c>
      <c r="R11" s="1">
        <v>3.8</v>
      </c>
    </row>
    <row r="12" spans="1:25" x14ac:dyDescent="0.25">
      <c r="B12" s="2" t="s">
        <v>10</v>
      </c>
      <c r="C12" s="2"/>
      <c r="D12" s="2"/>
      <c r="E12" s="2"/>
      <c r="N12" s="1" t="s">
        <v>18</v>
      </c>
      <c r="O12" s="1">
        <v>1.2</v>
      </c>
      <c r="P12" s="1">
        <v>3.2</v>
      </c>
      <c r="Q12" s="1">
        <v>3.2</v>
      </c>
      <c r="R12" s="1">
        <v>2.4</v>
      </c>
    </row>
    <row r="13" spans="1:25" x14ac:dyDescent="0.25">
      <c r="B13" s="1" t="s">
        <v>1</v>
      </c>
      <c r="C13" s="1" t="s">
        <v>2</v>
      </c>
      <c r="D13" s="1" t="s">
        <v>3</v>
      </c>
      <c r="E13" s="1" t="s">
        <v>4</v>
      </c>
      <c r="N13" s="1" t="s">
        <v>19</v>
      </c>
      <c r="O13" s="1">
        <v>2.2000000000000002</v>
      </c>
      <c r="P13" s="1">
        <v>2</v>
      </c>
      <c r="Q13" s="1">
        <v>3</v>
      </c>
      <c r="R13" s="1">
        <v>2.8</v>
      </c>
    </row>
    <row r="14" spans="1:25" x14ac:dyDescent="0.25">
      <c r="A14" s="1" t="s">
        <v>5</v>
      </c>
      <c r="B14" s="1">
        <v>1</v>
      </c>
      <c r="C14" s="1">
        <v>2.5</v>
      </c>
      <c r="D14" s="1">
        <v>2.5</v>
      </c>
      <c r="E14" s="1">
        <v>4</v>
      </c>
      <c r="N14" s="1" t="s">
        <v>42</v>
      </c>
      <c r="O14" s="1">
        <f>AVERAGE(O3:O13)</f>
        <v>1.6545454545454545</v>
      </c>
      <c r="P14" s="1">
        <f t="shared" ref="P14:R14" si="3">AVERAGE(P3:P13)</f>
        <v>2.1545454545454543</v>
      </c>
      <c r="Q14" s="1">
        <f t="shared" si="3"/>
        <v>3.2636363636363637</v>
      </c>
      <c r="R14" s="1">
        <f t="shared" si="3"/>
        <v>2.9272727272727277</v>
      </c>
    </row>
    <row r="15" spans="1:25" x14ac:dyDescent="0.25">
      <c r="A15" s="1" t="s">
        <v>6</v>
      </c>
      <c r="B15" s="1">
        <v>1</v>
      </c>
      <c r="C15" s="1">
        <v>2</v>
      </c>
      <c r="D15" s="1">
        <v>3</v>
      </c>
      <c r="E15" s="1">
        <v>4</v>
      </c>
    </row>
    <row r="16" spans="1:25" x14ac:dyDescent="0.25">
      <c r="A16" s="1" t="s">
        <v>7</v>
      </c>
      <c r="B16" s="1">
        <v>1</v>
      </c>
      <c r="C16" s="1">
        <v>2</v>
      </c>
      <c r="D16" s="1">
        <v>3</v>
      </c>
      <c r="E16" s="1">
        <v>4</v>
      </c>
      <c r="G16" s="1">
        <f>(12/(5*4*(4+1)))*(F21)-(3*5*(4+1))</f>
        <v>12.780000000000001</v>
      </c>
      <c r="I16" s="1">
        <f>_xlfn.CHISQ.DIST.RT(G16,3)</f>
        <v>5.1373484738063474E-3</v>
      </c>
      <c r="K16" s="1" t="s">
        <v>26</v>
      </c>
    </row>
    <row r="17" spans="1:27" x14ac:dyDescent="0.25">
      <c r="A17" s="1" t="s">
        <v>8</v>
      </c>
      <c r="B17" s="1">
        <v>1</v>
      </c>
      <c r="C17" s="1">
        <v>2</v>
      </c>
      <c r="D17" s="1">
        <v>4</v>
      </c>
      <c r="E17" s="1">
        <v>3</v>
      </c>
      <c r="N17" s="2" t="s">
        <v>32</v>
      </c>
      <c r="O17" s="2"/>
      <c r="P17" s="2"/>
      <c r="Q17" s="2"/>
      <c r="T17" s="2" t="s">
        <v>35</v>
      </c>
      <c r="U17" s="2"/>
      <c r="V17" s="2"/>
      <c r="W17" s="2"/>
    </row>
    <row r="18" spans="1:27" x14ac:dyDescent="0.25">
      <c r="A18" s="1" t="s">
        <v>9</v>
      </c>
      <c r="B18" s="1">
        <v>1</v>
      </c>
      <c r="C18" s="1">
        <v>2</v>
      </c>
      <c r="D18" s="1">
        <v>4</v>
      </c>
      <c r="E18" s="1">
        <v>3</v>
      </c>
      <c r="N18" s="1" t="s">
        <v>28</v>
      </c>
      <c r="O18" s="1" t="s">
        <v>33</v>
      </c>
      <c r="P18" s="1" t="s">
        <v>21</v>
      </c>
      <c r="Q18" s="1" t="s">
        <v>34</v>
      </c>
      <c r="T18" s="1" t="s">
        <v>28</v>
      </c>
      <c r="U18" s="1" t="s">
        <v>36</v>
      </c>
      <c r="V18" s="1" t="s">
        <v>37</v>
      </c>
      <c r="W18" s="1" t="s">
        <v>38</v>
      </c>
      <c r="Z18" s="1" t="s">
        <v>41</v>
      </c>
      <c r="AA18" s="1">
        <v>27</v>
      </c>
    </row>
    <row r="19" spans="1:27" x14ac:dyDescent="0.25">
      <c r="A19" s="1" t="s">
        <v>22</v>
      </c>
      <c r="B19" s="1">
        <f>SUM(B14:B18)</f>
        <v>5</v>
      </c>
      <c r="C19" s="1">
        <f t="shared" ref="C19:E19" si="4">SUM(C14:C18)</f>
        <v>10.5</v>
      </c>
      <c r="D19" s="1">
        <f t="shared" si="4"/>
        <v>16.5</v>
      </c>
      <c r="E19" s="1">
        <f t="shared" si="4"/>
        <v>18</v>
      </c>
      <c r="N19" s="1" t="s">
        <v>0</v>
      </c>
      <c r="O19" s="1">
        <v>12.840000000000003</v>
      </c>
      <c r="P19" s="1">
        <v>4.8999999999999998E-3</v>
      </c>
      <c r="Q19" s="1" t="s">
        <v>26</v>
      </c>
      <c r="T19" s="1" t="s">
        <v>0</v>
      </c>
      <c r="U19" s="1" t="s">
        <v>26</v>
      </c>
      <c r="V19" s="1" t="s">
        <v>26</v>
      </c>
      <c r="W19" s="1" t="s">
        <v>26</v>
      </c>
      <c r="Z19" s="1" t="s">
        <v>26</v>
      </c>
      <c r="AA19" s="1">
        <v>19</v>
      </c>
    </row>
    <row r="20" spans="1:27" x14ac:dyDescent="0.25">
      <c r="A20" s="1" t="s">
        <v>29</v>
      </c>
      <c r="B20" s="1">
        <f>B19/5</f>
        <v>1</v>
      </c>
      <c r="C20" s="1">
        <f t="shared" ref="C20:E20" si="5">C19/5</f>
        <v>2.1</v>
      </c>
      <c r="D20" s="1">
        <f t="shared" si="5"/>
        <v>3.3</v>
      </c>
      <c r="E20" s="1">
        <f t="shared" si="5"/>
        <v>3.6</v>
      </c>
      <c r="N20" s="1" t="s">
        <v>10</v>
      </c>
      <c r="O20" s="1">
        <v>12.780000000000001</v>
      </c>
      <c r="P20" s="1">
        <v>5.0000000000000001E-3</v>
      </c>
      <c r="Q20" s="1" t="s">
        <v>26</v>
      </c>
      <c r="T20" s="1" t="s">
        <v>10</v>
      </c>
      <c r="U20" s="1" t="s">
        <v>26</v>
      </c>
      <c r="V20" s="1" t="s">
        <v>26</v>
      </c>
      <c r="W20" s="1" t="s">
        <v>26</v>
      </c>
      <c r="Z20" s="1" t="s">
        <v>27</v>
      </c>
      <c r="AA20" s="1">
        <v>5</v>
      </c>
    </row>
    <row r="21" spans="1:27" x14ac:dyDescent="0.25">
      <c r="A21" s="1" t="s">
        <v>23</v>
      </c>
      <c r="B21" s="1">
        <f>B19*B19</f>
        <v>25</v>
      </c>
      <c r="C21" s="1">
        <f t="shared" ref="C21:E21" si="6">C19*C19</f>
        <v>110.25</v>
      </c>
      <c r="D21" s="1">
        <f t="shared" si="6"/>
        <v>272.25</v>
      </c>
      <c r="E21" s="1">
        <f t="shared" si="6"/>
        <v>324</v>
      </c>
      <c r="F21" s="1">
        <f>SUM(B21:E21)</f>
        <v>731.5</v>
      </c>
      <c r="N21" s="1" t="s">
        <v>12</v>
      </c>
      <c r="O21" s="1">
        <v>12.599999999999994</v>
      </c>
      <c r="P21" s="1">
        <v>5.0000000000000001E-3</v>
      </c>
      <c r="Q21" s="1" t="s">
        <v>26</v>
      </c>
      <c r="T21" s="1" t="s">
        <v>12</v>
      </c>
      <c r="U21" s="1" t="s">
        <v>27</v>
      </c>
      <c r="V21" s="1" t="s">
        <v>26</v>
      </c>
      <c r="W21" s="1" t="s">
        <v>26</v>
      </c>
      <c r="Z21" s="1" t="s">
        <v>39</v>
      </c>
      <c r="AA21" s="1">
        <v>3</v>
      </c>
    </row>
    <row r="22" spans="1:27" x14ac:dyDescent="0.25">
      <c r="N22" s="1" t="s">
        <v>13</v>
      </c>
      <c r="O22" s="1">
        <v>9.7199999999999989</v>
      </c>
      <c r="P22" s="1">
        <v>2.1000000000000001E-2</v>
      </c>
      <c r="Q22" s="1" t="s">
        <v>26</v>
      </c>
      <c r="T22" s="1" t="s">
        <v>13</v>
      </c>
      <c r="U22" s="1" t="s">
        <v>27</v>
      </c>
      <c r="V22" s="1" t="s">
        <v>26</v>
      </c>
      <c r="W22" s="1" t="s">
        <v>26</v>
      </c>
    </row>
    <row r="23" spans="1:27" x14ac:dyDescent="0.25">
      <c r="B23" s="2" t="s">
        <v>12</v>
      </c>
      <c r="C23" s="2"/>
      <c r="D23" s="2"/>
      <c r="E23" s="2"/>
      <c r="N23" s="1" t="s">
        <v>11</v>
      </c>
      <c r="O23" s="1">
        <v>9.2399999999999949</v>
      </c>
      <c r="P23" s="1">
        <v>2.5999999999999999E-2</v>
      </c>
      <c r="Q23" s="1" t="s">
        <v>26</v>
      </c>
      <c r="T23" s="1" t="s">
        <v>11</v>
      </c>
      <c r="U23" s="1" t="s">
        <v>27</v>
      </c>
      <c r="V23" s="1" t="s">
        <v>26</v>
      </c>
      <c r="W23" s="1" t="s">
        <v>26</v>
      </c>
    </row>
    <row r="24" spans="1:27" x14ac:dyDescent="0.25">
      <c r="B24" s="1" t="s">
        <v>1</v>
      </c>
      <c r="C24" s="1" t="s">
        <v>2</v>
      </c>
      <c r="D24" s="1" t="s">
        <v>3</v>
      </c>
      <c r="E24" s="1" t="s">
        <v>4</v>
      </c>
      <c r="N24" s="1" t="s">
        <v>14</v>
      </c>
      <c r="O24" s="1">
        <v>12.11999999999999</v>
      </c>
      <c r="P24" s="1">
        <v>6.0000000000000001E-3</v>
      </c>
      <c r="Q24" s="1" t="s">
        <v>26</v>
      </c>
      <c r="T24" s="1" t="s">
        <v>14</v>
      </c>
      <c r="U24" s="1" t="s">
        <v>26</v>
      </c>
      <c r="V24" s="1" t="s">
        <v>26</v>
      </c>
      <c r="W24" s="1" t="s">
        <v>26</v>
      </c>
    </row>
    <row r="25" spans="1:27" x14ac:dyDescent="0.25">
      <c r="A25" s="1" t="s">
        <v>5</v>
      </c>
      <c r="B25" s="1">
        <v>2</v>
      </c>
      <c r="C25" s="1">
        <v>1</v>
      </c>
      <c r="D25" s="1">
        <v>4</v>
      </c>
      <c r="E25" s="1">
        <v>3</v>
      </c>
      <c r="N25" s="1" t="s">
        <v>15</v>
      </c>
      <c r="O25" s="1">
        <v>14.039999999999992</v>
      </c>
      <c r="P25" s="1">
        <v>2E-3</v>
      </c>
      <c r="Q25" s="1" t="s">
        <v>26</v>
      </c>
      <c r="T25" s="1" t="s">
        <v>15</v>
      </c>
      <c r="U25" s="1" t="s">
        <v>39</v>
      </c>
      <c r="V25" s="1" t="s">
        <v>39</v>
      </c>
      <c r="W25" s="1" t="s">
        <v>39</v>
      </c>
    </row>
    <row r="26" spans="1:27" x14ac:dyDescent="0.25">
      <c r="A26" s="1" t="s">
        <v>6</v>
      </c>
      <c r="B26" s="1">
        <v>1</v>
      </c>
      <c r="C26" s="1">
        <v>2</v>
      </c>
      <c r="D26" s="1">
        <v>3</v>
      </c>
      <c r="E26" s="1">
        <v>4</v>
      </c>
      <c r="N26" s="1" t="s">
        <v>16</v>
      </c>
      <c r="O26" s="1">
        <v>11.879999999999995</v>
      </c>
      <c r="P26" s="1">
        <v>7.0000000000000001E-3</v>
      </c>
      <c r="Q26" s="1" t="s">
        <v>26</v>
      </c>
      <c r="T26" s="1" t="s">
        <v>16</v>
      </c>
      <c r="U26" s="1" t="s">
        <v>27</v>
      </c>
      <c r="V26" s="1" t="s">
        <v>26</v>
      </c>
      <c r="W26" s="1" t="s">
        <v>26</v>
      </c>
    </row>
    <row r="27" spans="1:27" x14ac:dyDescent="0.25">
      <c r="A27" s="1" t="s">
        <v>7</v>
      </c>
      <c r="B27" s="1">
        <v>1</v>
      </c>
      <c r="C27" s="1">
        <v>2</v>
      </c>
      <c r="D27" s="1">
        <v>4</v>
      </c>
      <c r="E27" s="1">
        <v>3</v>
      </c>
      <c r="G27" s="1">
        <f>(12/(5*4*(4+1)))*(F32)-(3*5*(4+1))</f>
        <v>12.599999999999994</v>
      </c>
      <c r="I27" s="1">
        <f>_xlfn.CHISQ.DIST.RT(G27,3)</f>
        <v>5.5865460973024096E-3</v>
      </c>
      <c r="K27" s="1" t="s">
        <v>26</v>
      </c>
      <c r="N27" s="1" t="s">
        <v>17</v>
      </c>
      <c r="O27" s="1">
        <v>7.3199999999999932</v>
      </c>
      <c r="P27" s="1">
        <v>6.2E-2</v>
      </c>
      <c r="Q27" s="1" t="s">
        <v>27</v>
      </c>
      <c r="T27" s="1" t="s">
        <v>18</v>
      </c>
      <c r="U27" s="1" t="s">
        <v>26</v>
      </c>
      <c r="V27" s="1" t="s">
        <v>26</v>
      </c>
      <c r="W27" s="1" t="s">
        <v>27</v>
      </c>
    </row>
    <row r="28" spans="1:27" x14ac:dyDescent="0.25">
      <c r="A28" s="1" t="s">
        <v>8</v>
      </c>
      <c r="B28" s="1">
        <v>2</v>
      </c>
      <c r="C28" s="1">
        <v>1</v>
      </c>
      <c r="D28" s="1">
        <v>4</v>
      </c>
      <c r="E28" s="1">
        <v>3</v>
      </c>
      <c r="N28" s="1" t="s">
        <v>18</v>
      </c>
      <c r="O28" s="1">
        <v>8.039999999999992</v>
      </c>
      <c r="P28" s="1">
        <v>4.4999999999999998E-2</v>
      </c>
      <c r="Q28" s="1" t="s">
        <v>26</v>
      </c>
    </row>
    <row r="29" spans="1:27" x14ac:dyDescent="0.25">
      <c r="A29" s="1" t="s">
        <v>9</v>
      </c>
      <c r="B29" s="1">
        <v>1</v>
      </c>
      <c r="C29" s="1">
        <v>2</v>
      </c>
      <c r="D29" s="1">
        <v>4</v>
      </c>
      <c r="E29" s="1">
        <v>3</v>
      </c>
      <c r="N29" s="1" t="s">
        <v>19</v>
      </c>
      <c r="O29" s="1">
        <v>2.04</v>
      </c>
      <c r="P29" s="1">
        <v>0.56399999999999995</v>
      </c>
      <c r="Q29" s="1" t="s">
        <v>27</v>
      </c>
    </row>
    <row r="30" spans="1:27" x14ac:dyDescent="0.25">
      <c r="A30" s="1" t="s">
        <v>22</v>
      </c>
      <c r="B30" s="1">
        <f>SUM(B25:B29)</f>
        <v>7</v>
      </c>
      <c r="C30" s="1">
        <f t="shared" ref="C30:E30" si="7">SUM(C25:C29)</f>
        <v>8</v>
      </c>
      <c r="D30" s="1">
        <f t="shared" si="7"/>
        <v>19</v>
      </c>
      <c r="E30" s="1">
        <f t="shared" si="7"/>
        <v>16</v>
      </c>
    </row>
    <row r="31" spans="1:27" x14ac:dyDescent="0.25">
      <c r="A31" s="1" t="s">
        <v>29</v>
      </c>
      <c r="B31" s="1">
        <f>B30/5</f>
        <v>1.4</v>
      </c>
      <c r="C31" s="1">
        <f t="shared" ref="C31:E31" si="8">C30/5</f>
        <v>1.6</v>
      </c>
      <c r="D31" s="1">
        <f t="shared" si="8"/>
        <v>3.8</v>
      </c>
      <c r="E31" s="1">
        <f t="shared" si="8"/>
        <v>3.2</v>
      </c>
    </row>
    <row r="32" spans="1:27" x14ac:dyDescent="0.25">
      <c r="A32" s="1" t="s">
        <v>23</v>
      </c>
      <c r="B32" s="1">
        <f>B30*B30</f>
        <v>49</v>
      </c>
      <c r="C32" s="1">
        <f t="shared" ref="C32:E32" si="9">C30*C30</f>
        <v>64</v>
      </c>
      <c r="D32" s="1">
        <f t="shared" si="9"/>
        <v>361</v>
      </c>
      <c r="E32" s="1">
        <f t="shared" si="9"/>
        <v>256</v>
      </c>
      <c r="F32" s="1">
        <f>SUM(B32:E32)</f>
        <v>730</v>
      </c>
    </row>
    <row r="34" spans="1:23" x14ac:dyDescent="0.25">
      <c r="B34" s="2" t="s">
        <v>13</v>
      </c>
      <c r="C34" s="2"/>
      <c r="D34" s="2"/>
      <c r="E34" s="2"/>
    </row>
    <row r="35" spans="1:23" x14ac:dyDescent="0.25">
      <c r="B35" s="1" t="s">
        <v>1</v>
      </c>
      <c r="C35" s="1" t="s">
        <v>2</v>
      </c>
      <c r="D35" s="1" t="s">
        <v>3</v>
      </c>
      <c r="E35" s="1" t="s">
        <v>4</v>
      </c>
    </row>
    <row r="36" spans="1:23" x14ac:dyDescent="0.25">
      <c r="A36" s="1" t="s">
        <v>5</v>
      </c>
      <c r="B36" s="1">
        <v>1</v>
      </c>
      <c r="C36" s="1">
        <v>2</v>
      </c>
      <c r="D36" s="1">
        <v>4</v>
      </c>
      <c r="E36" s="1">
        <v>3</v>
      </c>
    </row>
    <row r="37" spans="1:23" x14ac:dyDescent="0.25">
      <c r="A37" s="1" t="s">
        <v>6</v>
      </c>
      <c r="B37" s="1">
        <v>1</v>
      </c>
      <c r="C37" s="1">
        <v>4</v>
      </c>
      <c r="D37" s="1">
        <v>3</v>
      </c>
      <c r="E37" s="1">
        <v>2</v>
      </c>
    </row>
    <row r="38" spans="1:23" x14ac:dyDescent="0.25">
      <c r="A38" s="1" t="s">
        <v>7</v>
      </c>
      <c r="B38" s="1">
        <v>1</v>
      </c>
      <c r="C38" s="1">
        <v>2</v>
      </c>
      <c r="D38" s="1">
        <v>4</v>
      </c>
      <c r="E38" s="1">
        <v>3</v>
      </c>
      <c r="G38" s="1">
        <f>(12/(5*4*(4+1)))*(F43)-(3*5*(4+1))</f>
        <v>9.7199999999999989</v>
      </c>
      <c r="I38" s="1">
        <f>_xlfn.CHISQ.DIST.RT(G38,3)</f>
        <v>2.110251241410023E-2</v>
      </c>
      <c r="K38" s="1" t="s">
        <v>26</v>
      </c>
    </row>
    <row r="39" spans="1:23" x14ac:dyDescent="0.25">
      <c r="A39" s="1" t="s">
        <v>8</v>
      </c>
      <c r="B39" s="1">
        <v>2</v>
      </c>
      <c r="C39" s="1">
        <v>1</v>
      </c>
      <c r="D39" s="1">
        <v>4</v>
      </c>
      <c r="E39" s="1">
        <v>3</v>
      </c>
    </row>
    <row r="40" spans="1:23" x14ac:dyDescent="0.25">
      <c r="A40" s="1" t="s">
        <v>9</v>
      </c>
      <c r="B40" s="1">
        <v>2</v>
      </c>
      <c r="C40" s="1">
        <v>1</v>
      </c>
      <c r="D40" s="1">
        <v>4</v>
      </c>
      <c r="E40" s="1">
        <v>3</v>
      </c>
    </row>
    <row r="41" spans="1:23" x14ac:dyDescent="0.25">
      <c r="A41" s="1" t="s">
        <v>22</v>
      </c>
      <c r="B41" s="1">
        <f>SUM(B36:B40)</f>
        <v>7</v>
      </c>
      <c r="C41" s="1">
        <f t="shared" ref="C41:E41" si="10">SUM(C36:C40)</f>
        <v>10</v>
      </c>
      <c r="D41" s="1">
        <f t="shared" si="10"/>
        <v>19</v>
      </c>
      <c r="E41" s="1">
        <f t="shared" si="10"/>
        <v>14</v>
      </c>
    </row>
    <row r="42" spans="1:23" x14ac:dyDescent="0.25">
      <c r="A42" s="1" t="s">
        <v>29</v>
      </c>
      <c r="B42" s="1">
        <f>B41/5</f>
        <v>1.4</v>
      </c>
      <c r="C42" s="1">
        <f t="shared" ref="C42:E42" si="11">C41/5</f>
        <v>2</v>
      </c>
      <c r="D42" s="1">
        <f t="shared" si="11"/>
        <v>3.8</v>
      </c>
      <c r="E42" s="1">
        <f t="shared" si="11"/>
        <v>2.8</v>
      </c>
      <c r="W42" s="1" t="s">
        <v>40</v>
      </c>
    </row>
    <row r="43" spans="1:23" x14ac:dyDescent="0.25">
      <c r="A43" s="1" t="s">
        <v>23</v>
      </c>
      <c r="B43" s="1">
        <f>B41*B41</f>
        <v>49</v>
      </c>
      <c r="C43" s="1">
        <f t="shared" ref="C43:E43" si="12">C41*C41</f>
        <v>100</v>
      </c>
      <c r="D43" s="1">
        <f t="shared" si="12"/>
        <v>361</v>
      </c>
      <c r="E43" s="1">
        <f t="shared" si="12"/>
        <v>196</v>
      </c>
      <c r="F43" s="1">
        <f>SUM(B43:E43)</f>
        <v>706</v>
      </c>
    </row>
    <row r="45" spans="1:23" x14ac:dyDescent="0.25">
      <c r="B45" s="2" t="s">
        <v>11</v>
      </c>
      <c r="C45" s="2"/>
      <c r="D45" s="2"/>
      <c r="E45" s="2"/>
    </row>
    <row r="46" spans="1:23" x14ac:dyDescent="0.25">
      <c r="B46" s="1" t="s">
        <v>1</v>
      </c>
      <c r="C46" s="1" t="s">
        <v>2</v>
      </c>
      <c r="D46" s="1" t="s">
        <v>3</v>
      </c>
      <c r="E46" s="1" t="s">
        <v>4</v>
      </c>
    </row>
    <row r="47" spans="1:23" x14ac:dyDescent="0.25">
      <c r="A47" s="1" t="s">
        <v>5</v>
      </c>
      <c r="B47" s="1">
        <v>2</v>
      </c>
      <c r="C47" s="1">
        <v>1</v>
      </c>
      <c r="D47" s="1">
        <v>4</v>
      </c>
      <c r="E47" s="1">
        <v>3</v>
      </c>
    </row>
    <row r="48" spans="1:23" x14ac:dyDescent="0.25">
      <c r="A48" s="1" t="s">
        <v>6</v>
      </c>
      <c r="B48" s="1">
        <v>1</v>
      </c>
      <c r="C48" s="1">
        <v>4</v>
      </c>
      <c r="D48" s="1">
        <v>3</v>
      </c>
      <c r="E48" s="1">
        <v>2</v>
      </c>
      <c r="G48" s="1">
        <f>(12/(5*4*(4+1)))*(F54)-(3*5*(4+1))</f>
        <v>9.2399999999999949</v>
      </c>
      <c r="I48" s="1">
        <f>_xlfn.CHISQ.DIST.RT(G48,3)</f>
        <v>2.6264417987090696E-2</v>
      </c>
      <c r="K48" s="1" t="s">
        <v>26</v>
      </c>
    </row>
    <row r="49" spans="1:11" x14ac:dyDescent="0.25">
      <c r="A49" s="1" t="s">
        <v>7</v>
      </c>
      <c r="B49" s="1">
        <v>1</v>
      </c>
      <c r="C49" s="1">
        <v>2</v>
      </c>
      <c r="D49" s="1">
        <v>4</v>
      </c>
      <c r="E49" s="1">
        <v>3</v>
      </c>
    </row>
    <row r="50" spans="1:11" x14ac:dyDescent="0.25">
      <c r="A50" s="1" t="s">
        <v>8</v>
      </c>
      <c r="B50" s="1">
        <v>2</v>
      </c>
      <c r="C50" s="1">
        <v>1</v>
      </c>
      <c r="D50" s="1">
        <v>4</v>
      </c>
      <c r="E50" s="1">
        <v>3</v>
      </c>
    </row>
    <row r="51" spans="1:11" x14ac:dyDescent="0.25">
      <c r="A51" s="1" t="s">
        <v>9</v>
      </c>
      <c r="B51" s="1">
        <v>2</v>
      </c>
      <c r="C51" s="1">
        <v>1</v>
      </c>
      <c r="D51" s="1">
        <v>4</v>
      </c>
      <c r="E51" s="1">
        <v>3</v>
      </c>
    </row>
    <row r="52" spans="1:11" x14ac:dyDescent="0.25">
      <c r="A52" s="1" t="s">
        <v>22</v>
      </c>
      <c r="B52" s="1">
        <f>SUM(B47:B51)</f>
        <v>8</v>
      </c>
      <c r="C52" s="1">
        <f t="shared" ref="C52:E52" si="13">SUM(C47:C51)</f>
        <v>9</v>
      </c>
      <c r="D52" s="1">
        <f t="shared" si="13"/>
        <v>19</v>
      </c>
      <c r="E52" s="1">
        <f t="shared" si="13"/>
        <v>14</v>
      </c>
    </row>
    <row r="53" spans="1:11" x14ac:dyDescent="0.25">
      <c r="A53" s="1" t="s">
        <v>29</v>
      </c>
      <c r="B53" s="1">
        <f>B52/5</f>
        <v>1.6</v>
      </c>
      <c r="C53" s="1">
        <f t="shared" ref="C53:E53" si="14">C52/5</f>
        <v>1.8</v>
      </c>
      <c r="D53" s="1">
        <f t="shared" si="14"/>
        <v>3.8</v>
      </c>
      <c r="E53" s="1">
        <f t="shared" si="14"/>
        <v>2.8</v>
      </c>
    </row>
    <row r="54" spans="1:11" x14ac:dyDescent="0.25">
      <c r="A54" s="1" t="s">
        <v>23</v>
      </c>
      <c r="B54" s="1">
        <f>B52*B52</f>
        <v>64</v>
      </c>
      <c r="C54" s="1">
        <f t="shared" ref="C54:E54" si="15">C52*C52</f>
        <v>81</v>
      </c>
      <c r="D54" s="1">
        <f t="shared" si="15"/>
        <v>361</v>
      </c>
      <c r="E54" s="1">
        <f t="shared" si="15"/>
        <v>196</v>
      </c>
      <c r="F54" s="1">
        <f>SUM(B54:E54)</f>
        <v>702</v>
      </c>
    </row>
    <row r="56" spans="1:11" x14ac:dyDescent="0.25">
      <c r="B56" s="2" t="s">
        <v>14</v>
      </c>
      <c r="C56" s="2"/>
      <c r="D56" s="2"/>
      <c r="E56" s="2"/>
    </row>
    <row r="57" spans="1:11" x14ac:dyDescent="0.25">
      <c r="B57" s="1" t="s">
        <v>1</v>
      </c>
      <c r="C57" s="1" t="s">
        <v>2</v>
      </c>
      <c r="D57" s="1" t="s">
        <v>3</v>
      </c>
      <c r="E57" s="1" t="s">
        <v>4</v>
      </c>
    </row>
    <row r="58" spans="1:11" x14ac:dyDescent="0.25">
      <c r="A58" s="1" t="s">
        <v>5</v>
      </c>
      <c r="B58" s="1">
        <v>1</v>
      </c>
      <c r="C58" s="1">
        <v>3</v>
      </c>
      <c r="D58" s="1">
        <v>2</v>
      </c>
      <c r="E58" s="1">
        <v>4</v>
      </c>
    </row>
    <row r="59" spans="1:11" x14ac:dyDescent="0.25">
      <c r="A59" s="1" t="s">
        <v>6</v>
      </c>
      <c r="B59" s="1">
        <v>1</v>
      </c>
      <c r="C59" s="1">
        <v>4</v>
      </c>
      <c r="D59" s="1">
        <v>3</v>
      </c>
      <c r="E59" s="1">
        <v>2</v>
      </c>
      <c r="G59" s="1">
        <f>(12/(5*4*(4+1)))*(F65)-(3*5*(4+1))</f>
        <v>12.11999999999999</v>
      </c>
      <c r="I59" s="1">
        <f>_xlfn.CHISQ.DIST.RT(G59,3)</f>
        <v>6.9831944532655612E-3</v>
      </c>
      <c r="K59" s="1" t="s">
        <v>26</v>
      </c>
    </row>
    <row r="60" spans="1:11" x14ac:dyDescent="0.25">
      <c r="A60" s="1" t="s">
        <v>7</v>
      </c>
      <c r="B60" s="1">
        <v>1</v>
      </c>
      <c r="C60" s="1">
        <v>4</v>
      </c>
      <c r="D60" s="1">
        <v>3</v>
      </c>
      <c r="E60" s="1">
        <v>2</v>
      </c>
    </row>
    <row r="61" spans="1:11" x14ac:dyDescent="0.25">
      <c r="A61" s="1" t="s">
        <v>8</v>
      </c>
      <c r="B61" s="1">
        <v>1</v>
      </c>
      <c r="C61" s="1">
        <v>4</v>
      </c>
      <c r="D61" s="1">
        <v>3</v>
      </c>
      <c r="E61" s="1">
        <v>2</v>
      </c>
    </row>
    <row r="62" spans="1:11" x14ac:dyDescent="0.25">
      <c r="A62" s="1" t="s">
        <v>9</v>
      </c>
      <c r="B62" s="1">
        <v>1</v>
      </c>
      <c r="C62" s="1">
        <v>4</v>
      </c>
      <c r="D62" s="1">
        <v>3</v>
      </c>
      <c r="E62" s="1">
        <v>2</v>
      </c>
    </row>
    <row r="63" spans="1:11" x14ac:dyDescent="0.25">
      <c r="A63" s="1" t="s">
        <v>22</v>
      </c>
      <c r="B63" s="1">
        <f>SUM(B58:B62)</f>
        <v>5</v>
      </c>
      <c r="C63" s="1">
        <f t="shared" ref="C63:E63" si="16">SUM(C58:C62)</f>
        <v>19</v>
      </c>
      <c r="D63" s="1">
        <f t="shared" si="16"/>
        <v>14</v>
      </c>
      <c r="E63" s="1">
        <f t="shared" si="16"/>
        <v>12</v>
      </c>
    </row>
    <row r="64" spans="1:11" x14ac:dyDescent="0.25">
      <c r="A64" s="1" t="s">
        <v>29</v>
      </c>
      <c r="B64" s="1">
        <v>1</v>
      </c>
      <c r="C64" s="1">
        <v>4</v>
      </c>
      <c r="D64" s="1">
        <v>3</v>
      </c>
      <c r="E64" s="1">
        <v>2</v>
      </c>
    </row>
    <row r="65" spans="1:11" x14ac:dyDescent="0.25">
      <c r="A65" s="1" t="s">
        <v>23</v>
      </c>
      <c r="B65" s="1">
        <f>B63*B63</f>
        <v>25</v>
      </c>
      <c r="C65" s="1">
        <f t="shared" ref="C65:E65" si="17">C63*C63</f>
        <v>361</v>
      </c>
      <c r="D65" s="1">
        <f t="shared" si="17"/>
        <v>196</v>
      </c>
      <c r="E65" s="1">
        <f t="shared" si="17"/>
        <v>144</v>
      </c>
      <c r="F65" s="1">
        <f>SUM(B65:E65)</f>
        <v>726</v>
      </c>
    </row>
    <row r="68" spans="1:11" x14ac:dyDescent="0.25">
      <c r="B68" s="2" t="s">
        <v>15</v>
      </c>
      <c r="C68" s="2"/>
      <c r="D68" s="2"/>
      <c r="E68" s="2"/>
    </row>
    <row r="69" spans="1:11" x14ac:dyDescent="0.25">
      <c r="B69" s="1" t="s">
        <v>1</v>
      </c>
      <c r="C69" s="1" t="s">
        <v>2</v>
      </c>
      <c r="D69" s="1" t="s">
        <v>3</v>
      </c>
      <c r="E69" s="1" t="s">
        <v>4</v>
      </c>
    </row>
    <row r="70" spans="1:11" x14ac:dyDescent="0.25">
      <c r="A70" s="1" t="s">
        <v>5</v>
      </c>
      <c r="B70" s="1">
        <v>4</v>
      </c>
      <c r="C70" s="1">
        <v>2</v>
      </c>
      <c r="D70" s="1">
        <v>3</v>
      </c>
      <c r="E70" s="1">
        <v>1</v>
      </c>
    </row>
    <row r="71" spans="1:11" x14ac:dyDescent="0.25">
      <c r="A71" s="1" t="s">
        <v>6</v>
      </c>
      <c r="B71" s="1">
        <v>4</v>
      </c>
      <c r="C71" s="1">
        <v>1</v>
      </c>
      <c r="D71" s="1">
        <v>3</v>
      </c>
      <c r="E71" s="1">
        <v>2</v>
      </c>
      <c r="G71" s="1">
        <f>(12/(5*4*(4+1)))*(F77)-(3*5*(4+1))</f>
        <v>14.039999999999992</v>
      </c>
      <c r="I71" s="1">
        <f>_xlfn.CHISQ.DIST.RT(G71,3)</f>
        <v>2.8512084304522572E-3</v>
      </c>
      <c r="K71" s="1" t="s">
        <v>26</v>
      </c>
    </row>
    <row r="72" spans="1:11" x14ac:dyDescent="0.25">
      <c r="A72" s="1" t="s">
        <v>7</v>
      </c>
      <c r="B72" s="1">
        <v>4</v>
      </c>
      <c r="C72" s="1">
        <v>1</v>
      </c>
      <c r="D72" s="1">
        <v>3</v>
      </c>
      <c r="E72" s="1">
        <v>2</v>
      </c>
    </row>
    <row r="73" spans="1:11" x14ac:dyDescent="0.25">
      <c r="A73" s="1" t="s">
        <v>8</v>
      </c>
      <c r="B73" s="1">
        <v>4</v>
      </c>
      <c r="C73" s="1">
        <v>1</v>
      </c>
      <c r="D73" s="1">
        <v>3</v>
      </c>
      <c r="E73" s="1">
        <v>2</v>
      </c>
    </row>
    <row r="74" spans="1:11" x14ac:dyDescent="0.25">
      <c r="A74" s="1" t="s">
        <v>9</v>
      </c>
      <c r="B74" s="1">
        <v>4</v>
      </c>
      <c r="C74" s="1">
        <v>1</v>
      </c>
      <c r="D74" s="1">
        <v>3</v>
      </c>
      <c r="E74" s="1">
        <v>2</v>
      </c>
    </row>
    <row r="75" spans="1:11" x14ac:dyDescent="0.25">
      <c r="A75" s="1" t="s">
        <v>22</v>
      </c>
      <c r="B75" s="1">
        <f>SUM(B70:B74)</f>
        <v>20</v>
      </c>
      <c r="C75" s="1">
        <f t="shared" ref="C75:E75" si="18">SUM(C70:C74)</f>
        <v>6</v>
      </c>
      <c r="D75" s="1">
        <f t="shared" si="18"/>
        <v>15</v>
      </c>
      <c r="E75" s="1">
        <f t="shared" si="18"/>
        <v>9</v>
      </c>
    </row>
    <row r="76" spans="1:11" x14ac:dyDescent="0.25">
      <c r="A76" s="1" t="s">
        <v>29</v>
      </c>
      <c r="B76" s="1">
        <f>B75/5</f>
        <v>4</v>
      </c>
      <c r="C76" s="1">
        <f t="shared" ref="C76:E76" si="19">C75/5</f>
        <v>1.2</v>
      </c>
      <c r="D76" s="1">
        <f t="shared" si="19"/>
        <v>3</v>
      </c>
      <c r="E76" s="1">
        <f t="shared" si="19"/>
        <v>1.8</v>
      </c>
    </row>
    <row r="77" spans="1:11" x14ac:dyDescent="0.25">
      <c r="A77" s="1" t="s">
        <v>23</v>
      </c>
      <c r="B77" s="1">
        <f>B75*B75</f>
        <v>400</v>
      </c>
      <c r="C77" s="1">
        <f t="shared" ref="C77:E77" si="20">C75*C75</f>
        <v>36</v>
      </c>
      <c r="D77" s="1">
        <f t="shared" si="20"/>
        <v>225</v>
      </c>
      <c r="E77" s="1">
        <f t="shared" si="20"/>
        <v>81</v>
      </c>
      <c r="F77" s="1">
        <f>SUM(B77:E77)</f>
        <v>742</v>
      </c>
    </row>
    <row r="79" spans="1:11" x14ac:dyDescent="0.25">
      <c r="B79" s="2" t="s">
        <v>16</v>
      </c>
      <c r="C79" s="2"/>
      <c r="D79" s="2"/>
      <c r="E79" s="2"/>
    </row>
    <row r="80" spans="1:11" x14ac:dyDescent="0.25">
      <c r="B80" s="1" t="s">
        <v>1</v>
      </c>
      <c r="C80" s="1" t="s">
        <v>2</v>
      </c>
      <c r="D80" s="1" t="s">
        <v>3</v>
      </c>
      <c r="E80" s="1" t="s">
        <v>4</v>
      </c>
    </row>
    <row r="81" spans="1:11" x14ac:dyDescent="0.25">
      <c r="A81" s="1" t="s">
        <v>5</v>
      </c>
      <c r="B81" s="1">
        <v>1</v>
      </c>
      <c r="C81" s="1">
        <v>2</v>
      </c>
      <c r="D81" s="1">
        <v>3</v>
      </c>
      <c r="E81" s="1">
        <v>4</v>
      </c>
    </row>
    <row r="82" spans="1:11" x14ac:dyDescent="0.25">
      <c r="A82" s="1" t="s">
        <v>6</v>
      </c>
      <c r="B82" s="1">
        <v>1</v>
      </c>
      <c r="C82" s="1">
        <v>3</v>
      </c>
      <c r="D82" s="1">
        <v>2</v>
      </c>
      <c r="E82" s="1">
        <v>4</v>
      </c>
    </row>
    <row r="83" spans="1:11" x14ac:dyDescent="0.25">
      <c r="A83" s="1" t="s">
        <v>7</v>
      </c>
      <c r="B83" s="1">
        <v>2</v>
      </c>
      <c r="C83" s="1">
        <v>1</v>
      </c>
      <c r="D83" s="1">
        <v>3</v>
      </c>
      <c r="E83" s="1">
        <v>4</v>
      </c>
      <c r="G83" s="1">
        <f>(12/(5*4*(4+1)))*(F88)-(3*5*(4+1))</f>
        <v>11.879999999999995</v>
      </c>
      <c r="I83" s="1">
        <f>_xlfn.CHISQ.DIST.RT(G83,3)</f>
        <v>7.8057407518306934E-3</v>
      </c>
      <c r="K83" s="1" t="s">
        <v>26</v>
      </c>
    </row>
    <row r="84" spans="1:11" x14ac:dyDescent="0.25">
      <c r="A84" s="1" t="s">
        <v>8</v>
      </c>
      <c r="B84" s="1">
        <v>2</v>
      </c>
      <c r="C84" s="1">
        <v>1</v>
      </c>
      <c r="D84" s="1">
        <v>3</v>
      </c>
      <c r="E84" s="1">
        <v>4</v>
      </c>
    </row>
    <row r="85" spans="1:11" x14ac:dyDescent="0.25">
      <c r="A85" s="1" t="s">
        <v>9</v>
      </c>
      <c r="B85" s="1">
        <v>2</v>
      </c>
      <c r="C85" s="1">
        <v>1</v>
      </c>
      <c r="D85" s="1">
        <v>3</v>
      </c>
      <c r="E85" s="1">
        <v>4</v>
      </c>
    </row>
    <row r="86" spans="1:11" x14ac:dyDescent="0.25">
      <c r="A86" s="1" t="s">
        <v>22</v>
      </c>
      <c r="B86" s="1">
        <f>SUM(B81:B85)</f>
        <v>8</v>
      </c>
      <c r="C86" s="1">
        <f t="shared" ref="C86:E86" si="21">SUM(C81:C85)</f>
        <v>8</v>
      </c>
      <c r="D86" s="1">
        <f t="shared" si="21"/>
        <v>14</v>
      </c>
      <c r="E86" s="1">
        <f t="shared" si="21"/>
        <v>20</v>
      </c>
    </row>
    <row r="87" spans="1:11" x14ac:dyDescent="0.25">
      <c r="A87" s="1" t="s">
        <v>29</v>
      </c>
      <c r="B87" s="1">
        <f>B86/5</f>
        <v>1.6</v>
      </c>
      <c r="C87" s="1">
        <f t="shared" ref="C87:E87" si="22">C86/5</f>
        <v>1.6</v>
      </c>
      <c r="D87" s="1">
        <f t="shared" si="22"/>
        <v>2.8</v>
      </c>
      <c r="E87" s="1">
        <f t="shared" si="22"/>
        <v>4</v>
      </c>
    </row>
    <row r="88" spans="1:11" x14ac:dyDescent="0.25">
      <c r="A88" s="1" t="s">
        <v>23</v>
      </c>
      <c r="B88" s="1">
        <f>B86*B86</f>
        <v>64</v>
      </c>
      <c r="C88" s="1">
        <f t="shared" ref="C88:E88" si="23">C86*C86</f>
        <v>64</v>
      </c>
      <c r="D88" s="1">
        <f t="shared" si="23"/>
        <v>196</v>
      </c>
      <c r="E88" s="1">
        <f t="shared" si="23"/>
        <v>400</v>
      </c>
      <c r="F88" s="1">
        <f>SUM(B88:E88)</f>
        <v>724</v>
      </c>
    </row>
    <row r="90" spans="1:11" x14ac:dyDescent="0.25">
      <c r="B90" s="2" t="s">
        <v>17</v>
      </c>
      <c r="C90" s="2"/>
      <c r="D90" s="2"/>
      <c r="E90" s="2"/>
    </row>
    <row r="91" spans="1:11" x14ac:dyDescent="0.25">
      <c r="B91" s="1" t="s">
        <v>1</v>
      </c>
      <c r="C91" s="1" t="s">
        <v>2</v>
      </c>
      <c r="D91" s="1" t="s">
        <v>3</v>
      </c>
      <c r="E91" s="1" t="s">
        <v>4</v>
      </c>
    </row>
    <row r="92" spans="1:11" x14ac:dyDescent="0.25">
      <c r="A92" s="1" t="s">
        <v>5</v>
      </c>
      <c r="B92" s="1">
        <v>1</v>
      </c>
      <c r="C92" s="1">
        <v>4</v>
      </c>
      <c r="D92" s="1">
        <v>2</v>
      </c>
      <c r="E92" s="1">
        <v>3</v>
      </c>
    </row>
    <row r="93" spans="1:11" x14ac:dyDescent="0.25">
      <c r="A93" s="1" t="s">
        <v>6</v>
      </c>
      <c r="B93" s="1">
        <v>2</v>
      </c>
      <c r="C93" s="1">
        <v>3</v>
      </c>
      <c r="D93" s="1">
        <v>1</v>
      </c>
      <c r="E93" s="1">
        <v>4</v>
      </c>
    </row>
    <row r="94" spans="1:11" x14ac:dyDescent="0.25">
      <c r="A94" s="1" t="s">
        <v>7</v>
      </c>
      <c r="B94" s="1">
        <v>2</v>
      </c>
      <c r="C94" s="1">
        <v>1</v>
      </c>
      <c r="D94" s="1">
        <v>3</v>
      </c>
      <c r="E94" s="1">
        <v>4</v>
      </c>
      <c r="G94" s="1">
        <f>(12/(5*4*(4+1)))*(F99)-(3*5*(4+1))</f>
        <v>7.3199999999999932</v>
      </c>
      <c r="I94" s="1">
        <f>_xlfn.CHISQ.DIST.RT(G94,3)</f>
        <v>6.2368339878926926E-2</v>
      </c>
      <c r="K94" s="1" t="s">
        <v>27</v>
      </c>
    </row>
    <row r="95" spans="1:11" x14ac:dyDescent="0.25">
      <c r="A95" s="1" t="s">
        <v>8</v>
      </c>
      <c r="B95" s="1">
        <v>2</v>
      </c>
      <c r="C95" s="1">
        <v>1</v>
      </c>
      <c r="D95" s="1">
        <v>3</v>
      </c>
      <c r="E95" s="1">
        <v>4</v>
      </c>
    </row>
    <row r="96" spans="1:11" x14ac:dyDescent="0.25">
      <c r="A96" s="1" t="s">
        <v>9</v>
      </c>
      <c r="B96" s="1">
        <v>2</v>
      </c>
      <c r="C96" s="1">
        <v>1</v>
      </c>
      <c r="D96" s="1">
        <v>3</v>
      </c>
      <c r="E96" s="1">
        <v>4</v>
      </c>
    </row>
    <row r="97" spans="1:11" x14ac:dyDescent="0.25">
      <c r="A97" s="1" t="s">
        <v>22</v>
      </c>
      <c r="B97" s="1">
        <f>SUM(B92:B96)</f>
        <v>9</v>
      </c>
      <c r="C97" s="1">
        <f t="shared" ref="C97:E97" si="24">SUM(C92:C96)</f>
        <v>10</v>
      </c>
      <c r="D97" s="1">
        <f t="shared" si="24"/>
        <v>12</v>
      </c>
      <c r="E97" s="1">
        <f t="shared" si="24"/>
        <v>19</v>
      </c>
    </row>
    <row r="98" spans="1:11" x14ac:dyDescent="0.25">
      <c r="A98" s="1" t="s">
        <v>29</v>
      </c>
      <c r="B98" s="1">
        <f>B97/5</f>
        <v>1.8</v>
      </c>
      <c r="C98" s="1">
        <f t="shared" ref="C98:E98" si="25">C97/5</f>
        <v>2</v>
      </c>
      <c r="D98" s="1">
        <f t="shared" si="25"/>
        <v>2.4</v>
      </c>
      <c r="E98" s="1">
        <f t="shared" si="25"/>
        <v>3.8</v>
      </c>
    </row>
    <row r="99" spans="1:11" x14ac:dyDescent="0.25">
      <c r="A99" s="1" t="s">
        <v>23</v>
      </c>
      <c r="B99" s="1">
        <f>B97*B97</f>
        <v>81</v>
      </c>
      <c r="C99" s="1">
        <f t="shared" ref="C99:E99" si="26">C97*C97</f>
        <v>100</v>
      </c>
      <c r="D99" s="1">
        <f t="shared" si="26"/>
        <v>144</v>
      </c>
      <c r="E99" s="1">
        <f t="shared" si="26"/>
        <v>361</v>
      </c>
      <c r="F99" s="1">
        <f>SUM(B99:E99)</f>
        <v>686</v>
      </c>
    </row>
    <row r="101" spans="1:11" x14ac:dyDescent="0.25">
      <c r="B101" s="2" t="s">
        <v>18</v>
      </c>
      <c r="C101" s="2"/>
      <c r="D101" s="2"/>
      <c r="E101" s="2"/>
    </row>
    <row r="102" spans="1:11" x14ac:dyDescent="0.25">
      <c r="B102" s="1" t="s">
        <v>1</v>
      </c>
      <c r="C102" s="1" t="s">
        <v>2</v>
      </c>
      <c r="D102" s="1" t="s">
        <v>3</v>
      </c>
      <c r="E102" s="1" t="s">
        <v>4</v>
      </c>
    </row>
    <row r="103" spans="1:11" x14ac:dyDescent="0.25">
      <c r="A103" s="1" t="s">
        <v>5</v>
      </c>
      <c r="B103" s="1">
        <v>2</v>
      </c>
      <c r="C103" s="1">
        <v>4</v>
      </c>
      <c r="D103" s="1">
        <v>3</v>
      </c>
      <c r="E103" s="1">
        <v>1</v>
      </c>
    </row>
    <row r="104" spans="1:11" x14ac:dyDescent="0.25">
      <c r="A104" s="1" t="s">
        <v>6</v>
      </c>
      <c r="B104" s="1">
        <v>1</v>
      </c>
      <c r="C104" s="1">
        <v>3</v>
      </c>
      <c r="D104" s="1">
        <v>4</v>
      </c>
      <c r="E104" s="1">
        <v>2</v>
      </c>
    </row>
    <row r="105" spans="1:11" x14ac:dyDescent="0.25">
      <c r="A105" s="1" t="s">
        <v>7</v>
      </c>
      <c r="B105" s="1">
        <v>1</v>
      </c>
      <c r="C105" s="1">
        <v>3</v>
      </c>
      <c r="D105" s="1">
        <v>4</v>
      </c>
      <c r="E105" s="1">
        <v>2</v>
      </c>
      <c r="G105" s="1">
        <f>(12/(5*4*(4+1)))*(F110)-(3*5*(4+1))</f>
        <v>8.039999999999992</v>
      </c>
      <c r="I105" s="1">
        <f>_xlfn.CHISQ.DIST.RT(G105,3)</f>
        <v>4.5192219404371452E-2</v>
      </c>
      <c r="K105" s="1" t="s">
        <v>26</v>
      </c>
    </row>
    <row r="106" spans="1:11" x14ac:dyDescent="0.25">
      <c r="A106" s="1" t="s">
        <v>8</v>
      </c>
      <c r="B106" s="1">
        <v>1</v>
      </c>
      <c r="C106" s="1">
        <v>4</v>
      </c>
      <c r="D106" s="1">
        <v>2</v>
      </c>
      <c r="E106" s="1">
        <v>3</v>
      </c>
    </row>
    <row r="107" spans="1:11" x14ac:dyDescent="0.25">
      <c r="A107" s="1" t="s">
        <v>9</v>
      </c>
      <c r="B107" s="1">
        <v>1</v>
      </c>
      <c r="C107" s="1">
        <v>2</v>
      </c>
      <c r="D107" s="1">
        <v>3</v>
      </c>
      <c r="E107" s="1">
        <v>4</v>
      </c>
    </row>
    <row r="108" spans="1:11" x14ac:dyDescent="0.25">
      <c r="A108" s="1" t="s">
        <v>22</v>
      </c>
      <c r="B108" s="1">
        <f>SUM(B103:B107)</f>
        <v>6</v>
      </c>
      <c r="C108" s="1">
        <f t="shared" ref="C108:E108" si="27">SUM(C103:C107)</f>
        <v>16</v>
      </c>
      <c r="D108" s="1">
        <f t="shared" si="27"/>
        <v>16</v>
      </c>
      <c r="E108" s="1">
        <f t="shared" si="27"/>
        <v>12</v>
      </c>
    </row>
    <row r="109" spans="1:11" x14ac:dyDescent="0.25">
      <c r="A109" s="1" t="s">
        <v>29</v>
      </c>
      <c r="B109" s="1">
        <f>B108/5</f>
        <v>1.2</v>
      </c>
      <c r="C109" s="1">
        <f t="shared" ref="C109:E109" si="28">C108/5</f>
        <v>3.2</v>
      </c>
      <c r="D109" s="1">
        <f t="shared" si="28"/>
        <v>3.2</v>
      </c>
      <c r="E109" s="1">
        <f t="shared" si="28"/>
        <v>2.4</v>
      </c>
    </row>
    <row r="110" spans="1:11" x14ac:dyDescent="0.25">
      <c r="A110" s="1" t="s">
        <v>23</v>
      </c>
      <c r="B110" s="1">
        <f>B108*B108</f>
        <v>36</v>
      </c>
      <c r="C110" s="1">
        <f t="shared" ref="C110:E110" si="29">C108*C108</f>
        <v>256</v>
      </c>
      <c r="D110" s="1">
        <f t="shared" si="29"/>
        <v>256</v>
      </c>
      <c r="E110" s="1">
        <f t="shared" si="29"/>
        <v>144</v>
      </c>
      <c r="F110" s="1">
        <f>SUM(B110:E110)</f>
        <v>692</v>
      </c>
    </row>
    <row r="112" spans="1:11" x14ac:dyDescent="0.25">
      <c r="B112" s="2" t="s">
        <v>19</v>
      </c>
      <c r="C112" s="2"/>
      <c r="D112" s="2"/>
      <c r="E112" s="2"/>
    </row>
    <row r="113" spans="1:11" x14ac:dyDescent="0.25">
      <c r="B113" s="1" t="s">
        <v>1</v>
      </c>
      <c r="C113" s="1" t="s">
        <v>2</v>
      </c>
      <c r="D113" s="1" t="s">
        <v>3</v>
      </c>
      <c r="E113" s="1" t="s">
        <v>4</v>
      </c>
    </row>
    <row r="114" spans="1:11" x14ac:dyDescent="0.25">
      <c r="A114" s="1" t="s">
        <v>5</v>
      </c>
      <c r="B114" s="1">
        <v>2</v>
      </c>
      <c r="C114" s="1">
        <v>3</v>
      </c>
      <c r="D114" s="1">
        <v>4</v>
      </c>
      <c r="E114" s="1">
        <v>1</v>
      </c>
    </row>
    <row r="115" spans="1:11" x14ac:dyDescent="0.25">
      <c r="A115" s="1" t="s">
        <v>6</v>
      </c>
      <c r="B115" s="1">
        <v>3</v>
      </c>
      <c r="C115" s="1">
        <v>4</v>
      </c>
      <c r="D115" s="1">
        <v>1</v>
      </c>
      <c r="E115" s="1">
        <v>2</v>
      </c>
    </row>
    <row r="116" spans="1:11" x14ac:dyDescent="0.25">
      <c r="A116" s="1" t="s">
        <v>7</v>
      </c>
      <c r="B116" s="1">
        <v>2</v>
      </c>
      <c r="C116" s="1">
        <v>1</v>
      </c>
      <c r="D116" s="1">
        <v>4</v>
      </c>
      <c r="E116" s="1">
        <v>3</v>
      </c>
      <c r="G116" s="1">
        <f>(12/(5*4*(4+1)))*(F121)-(3*5*(4+1))</f>
        <v>2.039999999999992</v>
      </c>
      <c r="I116" s="1">
        <f>_xlfn.CHISQ.DIST.RT(G116,3)</f>
        <v>0.56414619919846187</v>
      </c>
      <c r="K116" s="1" t="s">
        <v>27</v>
      </c>
    </row>
    <row r="117" spans="1:11" x14ac:dyDescent="0.25">
      <c r="A117" s="1" t="s">
        <v>8</v>
      </c>
      <c r="B117" s="1">
        <v>2</v>
      </c>
      <c r="C117" s="1">
        <v>1</v>
      </c>
      <c r="D117" s="1">
        <v>3</v>
      </c>
      <c r="E117" s="1">
        <v>4</v>
      </c>
    </row>
    <row r="118" spans="1:11" x14ac:dyDescent="0.25">
      <c r="A118" s="1" t="s">
        <v>9</v>
      </c>
      <c r="B118" s="1">
        <v>2</v>
      </c>
      <c r="C118" s="1">
        <v>1</v>
      </c>
      <c r="D118" s="1">
        <v>3</v>
      </c>
      <c r="E118" s="1">
        <v>4</v>
      </c>
    </row>
    <row r="119" spans="1:11" x14ac:dyDescent="0.25">
      <c r="A119" s="1" t="s">
        <v>22</v>
      </c>
      <c r="B119" s="1">
        <f>SUM(B114:B118)</f>
        <v>11</v>
      </c>
      <c r="C119" s="1">
        <f t="shared" ref="C119:E119" si="30">SUM(C114:C118)</f>
        <v>10</v>
      </c>
      <c r="D119" s="1">
        <f t="shared" si="30"/>
        <v>15</v>
      </c>
      <c r="E119" s="1">
        <f t="shared" si="30"/>
        <v>14</v>
      </c>
    </row>
    <row r="120" spans="1:11" x14ac:dyDescent="0.25">
      <c r="A120" s="1" t="s">
        <v>29</v>
      </c>
      <c r="B120" s="1">
        <f>B119/5</f>
        <v>2.2000000000000002</v>
      </c>
      <c r="C120" s="1">
        <f t="shared" ref="C120:E120" si="31">C119/5</f>
        <v>2</v>
      </c>
      <c r="D120" s="1">
        <f t="shared" si="31"/>
        <v>3</v>
      </c>
      <c r="E120" s="1">
        <f t="shared" si="31"/>
        <v>2.8</v>
      </c>
    </row>
    <row r="121" spans="1:11" x14ac:dyDescent="0.25">
      <c r="A121" s="1" t="s">
        <v>23</v>
      </c>
      <c r="B121" s="1">
        <f>B119*B119</f>
        <v>121</v>
      </c>
      <c r="C121" s="1">
        <f t="shared" ref="C121:E121" si="32">C119*C119</f>
        <v>100</v>
      </c>
      <c r="D121" s="1">
        <f t="shared" si="32"/>
        <v>225</v>
      </c>
      <c r="E121" s="1">
        <f t="shared" si="32"/>
        <v>196</v>
      </c>
      <c r="F121" s="1">
        <f>SUM(B121:E121)</f>
        <v>642</v>
      </c>
    </row>
  </sheetData>
  <mergeCells count="14">
    <mergeCell ref="T17:W17"/>
    <mergeCell ref="N1:R1"/>
    <mergeCell ref="B45:E45"/>
    <mergeCell ref="B68:E68"/>
    <mergeCell ref="B79:E79"/>
    <mergeCell ref="B1:E1"/>
    <mergeCell ref="B12:E12"/>
    <mergeCell ref="B90:E90"/>
    <mergeCell ref="B56:E56"/>
    <mergeCell ref="N17:Q17"/>
    <mergeCell ref="B101:E101"/>
    <mergeCell ref="B112:E112"/>
    <mergeCell ref="B23:E23"/>
    <mergeCell ref="B34:E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Friedman Wilcoxon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Sarthak</dc:creator>
  <cp:lastModifiedBy>Sarthak Srivastava</cp:lastModifiedBy>
  <dcterms:created xsi:type="dcterms:W3CDTF">2015-06-05T18:17:20Z</dcterms:created>
  <dcterms:modified xsi:type="dcterms:W3CDTF">2026-09-14T09:28:29Z</dcterms:modified>
</cp:coreProperties>
</file>